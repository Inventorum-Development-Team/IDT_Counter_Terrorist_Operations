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84A65C2C-649F-4900-B7F5-667E3CCD0123}" xr6:coauthVersionLast="47" xr6:coauthVersionMax="47" xr10:uidLastSave="{00000000-0000-0000-0000-000000000000}"/>
  <bookViews>
    <workbookView xWindow="-120" yWindow="-120" windowWidth="29040" windowHeight="15840" firstSheet="3" activeTab="11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5" i="4" l="1"/>
  <c r="X56" i="4"/>
  <c r="X17" i="3"/>
  <c r="X16" i="3"/>
  <c r="W17" i="3"/>
  <c r="X16" i="2"/>
  <c r="W16" i="2"/>
  <c r="X15" i="5"/>
  <c r="Y15" i="5"/>
  <c r="Y14" i="5"/>
  <c r="X14" i="5"/>
  <c r="W16" i="3"/>
  <c r="X15" i="2"/>
  <c r="W15" i="2"/>
  <c r="Y12" i="4"/>
  <c r="Y11" i="4"/>
  <c r="Y31" i="4"/>
  <c r="Y50" i="4"/>
  <c r="Y49" i="4"/>
  <c r="Y18" i="4"/>
  <c r="Y44" i="4"/>
  <c r="Y45" i="4"/>
  <c r="Y43" i="4"/>
  <c r="Y47" i="4"/>
  <c r="X12" i="4"/>
  <c r="X11" i="4"/>
  <c r="X31" i="4"/>
  <c r="X50" i="4"/>
  <c r="X49" i="4"/>
  <c r="X18" i="4"/>
  <c r="X44" i="4"/>
  <c r="X45" i="4"/>
  <c r="X43" i="4"/>
  <c r="X47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20" i="4"/>
  <c r="Y48" i="4"/>
  <c r="Y46" i="4"/>
  <c r="Y17" i="4"/>
  <c r="Y16" i="4"/>
  <c r="Y25" i="4"/>
  <c r="Y24" i="4"/>
  <c r="Y26" i="4"/>
  <c r="Y23" i="4"/>
  <c r="Y21" i="4"/>
  <c r="X48" i="4"/>
  <c r="X46" i="4"/>
  <c r="X17" i="4"/>
  <c r="X16" i="4"/>
  <c r="X25" i="4"/>
  <c r="X24" i="4"/>
  <c r="X26" i="4"/>
  <c r="X23" i="4"/>
  <c r="X21" i="4"/>
  <c r="X20" i="4"/>
  <c r="X39" i="4"/>
  <c r="Y14" i="4"/>
  <c r="Y13" i="4"/>
  <c r="Y6" i="4"/>
  <c r="Y5" i="4"/>
  <c r="Y4" i="4"/>
  <c r="Y3" i="4"/>
  <c r="Y40" i="4"/>
  <c r="Y39" i="4"/>
  <c r="Y41" i="4"/>
  <c r="X14" i="4"/>
  <c r="X13" i="4"/>
  <c r="X6" i="4"/>
  <c r="X5" i="4"/>
  <c r="X4" i="4"/>
  <c r="X3" i="4"/>
  <c r="X40" i="4"/>
  <c r="X41" i="4"/>
  <c r="Y38" i="4"/>
  <c r="Y36" i="4"/>
  <c r="Y35" i="4"/>
  <c r="Y37" i="4"/>
  <c r="Y34" i="4"/>
  <c r="Y54" i="4"/>
  <c r="Y53" i="4"/>
  <c r="Y52" i="4"/>
  <c r="X38" i="4"/>
  <c r="X36" i="4"/>
  <c r="X35" i="4"/>
  <c r="X37" i="4"/>
  <c r="X34" i="4"/>
  <c r="X55" i="4"/>
  <c r="X54" i="4"/>
  <c r="X53" i="4"/>
  <c r="X52" i="4"/>
  <c r="Y51" i="4"/>
  <c r="X51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Y29" i="4" a="1"/>
  <c r="Y16" i="8" a="1"/>
  <c r="X4" i="8" a="1"/>
  <c r="Y9" i="7" a="1"/>
  <c r="Y42" i="4" a="1"/>
  <c r="Y8" i="8" a="1"/>
  <c r="Z11" i="7" a="1"/>
  <c r="X8" i="8" a="1"/>
  <c r="Y57" i="4" a="1"/>
  <c r="Y8" i="7" a="1"/>
  <c r="Y10" i="4" a="1"/>
  <c r="Y6" i="7" a="1"/>
  <c r="X3" i="2" a="1"/>
  <c r="X42" i="4" a="1"/>
  <c r="Y32" i="4" a="1"/>
  <c r="X10" i="4" a="1"/>
  <c r="X57" i="4" a="1"/>
  <c r="W9" i="3" a="1"/>
  <c r="Y10" i="7" a="1"/>
  <c r="X6" i="8" a="1"/>
  <c r="Y2" i="4" a="1"/>
  <c r="Y15" i="4" a="1"/>
  <c r="Y14" i="8" a="1"/>
  <c r="Z11" i="6" a="1"/>
  <c r="Z7" i="7" a="1"/>
  <c r="X9" i="4" a="1"/>
  <c r="X14" i="8" a="1"/>
  <c r="X8" i="4" a="1"/>
  <c r="Y6" i="8" a="1"/>
  <c r="X15" i="8" a="1"/>
  <c r="X3" i="8" a="1"/>
  <c r="X10" i="8" a="1"/>
  <c r="Z2" i="7" a="1"/>
  <c r="Y12" i="7" a="1"/>
  <c r="X5" i="8" a="1"/>
  <c r="Z15" i="7" a="1"/>
  <c r="Z13" i="7" a="1"/>
  <c r="Z12" i="7" a="1"/>
  <c r="Y2" i="8" a="1"/>
  <c r="Y9" i="8" a="1"/>
  <c r="Z5" i="7" a="1"/>
  <c r="Y5" i="8" a="1"/>
  <c r="Z3" i="7" a="1"/>
  <c r="Y2" i="7" a="1"/>
  <c r="Y13" i="8" a="1"/>
  <c r="Y19" i="4" a="1"/>
  <c r="Z9" i="7" a="1"/>
  <c r="X2" i="4" a="1"/>
  <c r="Y7" i="8" a="1"/>
  <c r="X2" i="8" a="1"/>
  <c r="X12" i="8" a="1"/>
  <c r="Z6" i="7" a="1"/>
  <c r="X16" i="8" a="1"/>
  <c r="Y12" i="8" a="1"/>
  <c r="X30" i="4" a="1"/>
  <c r="Y10" i="8" a="1"/>
  <c r="Z10" i="7" a="1"/>
  <c r="X19" i="4" a="1"/>
  <c r="X9" i="8" a="1"/>
  <c r="X33" i="4" a="1"/>
  <c r="X15" i="4" a="1"/>
  <c r="Y28" i="4" a="1"/>
  <c r="Y11" i="7" a="1"/>
  <c r="Y5" i="7" a="1"/>
  <c r="Y56" i="4" a="1"/>
  <c r="Y3" i="7" a="1"/>
  <c r="X13" i="8" a="1"/>
  <c r="Y14" i="7" a="1"/>
  <c r="Y13" i="7" a="1"/>
  <c r="Y15" i="7" a="1"/>
  <c r="Z12" i="6" a="1"/>
  <c r="Y30" i="4" a="1"/>
  <c r="Z14" i="7" a="1"/>
  <c r="X12" i="6" a="1"/>
  <c r="X11" i="6" a="1"/>
  <c r="X7" i="4" a="1"/>
  <c r="Z4" i="7" a="1"/>
  <c r="Y27" i="4" a="1"/>
  <c r="Y15" i="8" a="1"/>
  <c r="Y22" i="4" a="1"/>
  <c r="W6" i="3" a="1"/>
  <c r="X22" i="4" a="1"/>
  <c r="X27" i="4" a="1"/>
  <c r="Y11" i="6" a="1"/>
  <c r="X28" i="4" a="1"/>
  <c r="X32" i="4" a="1"/>
  <c r="Z8" i="7" a="1"/>
  <c r="Y3" i="8" a="1"/>
  <c r="Y12" i="6" a="1"/>
  <c r="Y11" i="8" a="1"/>
  <c r="Y7" i="7" a="1"/>
  <c r="X9" i="3" a="1"/>
  <c r="Y33" i="4" a="1"/>
  <c r="Y7" i="4" a="1"/>
  <c r="X11" i="8" a="1"/>
  <c r="X7" i="8" a="1"/>
  <c r="Y4" i="7" a="1"/>
  <c r="Y8" i="4" a="1"/>
  <c r="X6" i="3" a="1"/>
  <c r="X29" i="4" a="1"/>
  <c r="Y9" i="4" a="1"/>
  <c r="Y4" i="8" a="1"/>
  <c r="W3" i="2" a="1"/>
  <c r="Y56" i="4" l="1"/>
  <c r="Z12" i="6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7" i="4"/>
  <c r="X7" i="4"/>
  <c r="Y8" i="8"/>
  <c r="X8" i="8"/>
  <c r="Y10" i="4"/>
  <c r="X10" i="4"/>
  <c r="Y9" i="4"/>
  <c r="X9" i="4"/>
  <c r="X6" i="3"/>
  <c r="W6" i="3"/>
  <c r="Z11" i="6"/>
  <c r="Y11" i="6"/>
  <c r="X11" i="6"/>
  <c r="Z9" i="7"/>
  <c r="Y9" i="7"/>
  <c r="X9" i="3"/>
  <c r="W9" i="3"/>
  <c r="Y30" i="4"/>
  <c r="X30" i="4"/>
  <c r="X57" i="4"/>
  <c r="Y29" i="4"/>
  <c r="X29" i="4"/>
  <c r="Y22" i="4"/>
  <c r="Y33" i="4"/>
  <c r="Y32" i="4"/>
  <c r="X32" i="4"/>
  <c r="X33" i="4"/>
  <c r="X22" i="4"/>
  <c r="X3" i="2"/>
  <c r="W3" i="2"/>
  <c r="Y16" i="8"/>
  <c r="Y15" i="8"/>
  <c r="Y14" i="8"/>
  <c r="Y13" i="8"/>
  <c r="Y12" i="8"/>
  <c r="Y11" i="8"/>
  <c r="Y10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10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8" i="4"/>
  <c r="Y27" i="4"/>
  <c r="X28" i="4"/>
  <c r="X27" i="4"/>
  <c r="X19" i="4"/>
  <c r="X15" i="4"/>
  <c r="X2" i="4"/>
  <c r="X42" i="4"/>
  <c r="X8" i="4"/>
  <c r="Y57" i="4"/>
  <c r="Y19" i="4"/>
  <c r="Y15" i="4"/>
  <c r="Y2" i="4"/>
  <c r="Y42" i="4"/>
  <c r="Y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" authorId="0" shapeId="0" xr:uid="{92CD7A6C-E2FA-4A7C-B424-00C3C141C859}">
      <text>
        <r>
          <rPr>
            <b/>
            <sz val="9"/>
            <color indexed="81"/>
            <rFont val="Tahoma"/>
            <family val="2"/>
          </rPr>
          <t>Data on this page needs to be verified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<sst xmlns="http://schemas.openxmlformats.org/spreadsheetml/2006/main" count="1793" uniqueCount="595">
  <si>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</si>
  <si>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</si>
  <si>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</si>
  <si>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</si>
  <si>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</si>
  <si>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</si>
  <si>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</si>
  <si>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</si>
  <si>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</si>
  <si>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</si>
  <si>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</si>
  <si>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</si>
  <si>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</si>
  <si>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</si>
  <si>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</si>
  <si>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</si>
  <si>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</si>
  <si>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</si>
  <si>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</si>
  <si>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</si>
  <si>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</si>
  <si>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</si>
  <si>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</si>
  <si>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</si>
  <si>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</si>
  <si>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</si>
  <si>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</si>
  <si>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</si>
  <si>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</si>
  <si>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</si>
  <si>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</si>
  <si>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</si>
  <si>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</si>
  <si>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</si>
  <si>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</si>
  <si>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</si>
  <si>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</si>
  <si>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</si>
  <si>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</si>
  <si>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</si>
  <si>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</si>
  <si>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</si>
  <si>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</si>
  <si>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</si>
  <si>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</si>
  <si>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</si>
  <si>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</si>
  <si>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</si>
  <si>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</si>
  <si>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</si>
  <si>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</si>
  <si>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</si>
  <si>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</si>
  <si>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</si>
  <si>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</si>
  <si>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</si>
  <si>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</si>
  <si>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</si>
  <si>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</si>
  <si>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</si>
  <si>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</si>
  <si>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</si>
  <si>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</si>
  <si>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</si>
  <si>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</si>
  <si>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</si>
  <si>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</si>
  <si>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</si>
  <si>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</si>
  <si>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</si>
  <si>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</si>
  <si>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</si>
  <si>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</si>
  <si>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</si>
  <si>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</si>
  <si>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</si>
  <si>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</si>
  <si>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</si>
  <si>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</si>
  <si>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</si>
  <si>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</si>
  <si>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</si>
  <si>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</si>
  <si>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</si>
  <si>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</si>
  <si>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</si>
  <si>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</si>
  <si>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</si>
  <si>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</si>
  <si>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</si>
  <si>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</si>
  <si>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</si>
  <si>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</si>
  <si>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</si>
  <si>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</si>
  <si>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</si>
  <si>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</si>
  <si>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</si>
  <si>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</si>
  <si>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</si>
  <si>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</si>
  <si>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</si>
  <si>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</si>
  <si>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</si>
  <si>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</si>
  <si>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</si>
  <si>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</si>
  <si>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</si>
  <si>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</si>
  <si>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</si>
  <si>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</si>
  <si>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</si>
  <si>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</si>
  <si>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</si>
  <si>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</si>
  <si>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</si>
  <si>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</si>
  <si>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</si>
  <si>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</si>
  <si>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</si>
  <si>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</si>
  <si>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</si>
  <si>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</si>
  <si>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</si>
  <si>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</si>
  <si>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</si>
  <si>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</si>
  <si>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</si>
  <si>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</si>
  <si>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</si>
  <si>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</si>
  <si>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</si>
  <si>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</si>
  <si>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</si>
  <si>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</si>
  <si>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</si>
  <si>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</si>
  <si>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</si>
  <si>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</si>
  <si>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</si>
  <si>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</si>
  <si>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</si>
  <si>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</si>
  <si>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</si>
  <si>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</si>
  <si>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</si>
  <si>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</si>
  <si>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</si>
  <si>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</si>
  <si>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</si>
  <si>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</si>
  <si>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</si>
  <si>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</si>
  <si>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</si>
  <si>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</si>
  <si>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</si>
  <si>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</si>
  <si>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</si>
  <si>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</si>
  <si>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</si>
  <si>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</si>
  <si>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</si>
  <si>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</si>
  <si>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</si>
  <si>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</si>
  <si>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</si>
  <si>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</si>
  <si>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</si>
  <si>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</si>
  <si>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</si>
  <si>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</si>
  <si>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</si>
  <si>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</si>
  <si>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</si>
  <si>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</si>
  <si>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</si>
  <si>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</si>
  <si>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</si>
  <si>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</si>
  <si>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</si>
  <si>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</si>
  <si>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</si>
  <si>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</si>
  <si>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</si>
  <si>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</si>
  <si>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</si>
  <si>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</si>
  <si>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</si>
  <si>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</si>
  <si>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</si>
  <si>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</si>
  <si>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</si>
  <si>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</si>
  <si>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</si>
  <si>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</si>
  <si>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</si>
  <si>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</si>
  <si>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</si>
  <si>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</si>
  <si>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</si>
  <si>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</si>
  <si>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</si>
  <si>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</si>
  <si>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</si>
  <si>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</si>
  <si>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</si>
  <si>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</si>
  <si>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</si>
  <si>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</si>
  <si>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</si>
  <si>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</si>
  <si>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</si>
  <si>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</si>
  <si>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</si>
  <si>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</si>
  <si>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</si>
  <si>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</si>
  <si>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</si>
  <si>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</si>
  <si>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</si>
  <si>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</si>
  <si>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</si>
  <si>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</si>
  <si>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</si>
  <si>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</si>
  <si>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</si>
  <si>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</si>
  <si>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</si>
  <si>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</si>
  <si>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</si>
  <si>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</si>
  <si>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</si>
  <si>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</si>
  <si>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</si>
  <si>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</si>
  <si>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</si>
  <si>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</si>
  <si>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</si>
  <si>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</si>
  <si>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</si>
  <si>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</si>
  <si>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</si>
  <si>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</si>
  <si>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</si>
  <si>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</si>
  <si>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</si>
  <si>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</si>
  <si>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</si>
  <si>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</si>
  <si>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</si>
  <si>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</si>
  <si>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</si>
  <si>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</si>
  <si>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</si>
  <si>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</si>
  <si>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</si>
  <si>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</si>
  <si>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</si>
  <si>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</si>
  <si>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</si>
  <si>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</si>
  <si>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</si>
  <si>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</si>
  <si>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</si>
  <si>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</si>
  <si>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</si>
  <si>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</si>
  <si>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</si>
  <si>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</si>
  <si>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</si>
  <si>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</si>
  <si>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</si>
  <si>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</si>
  <si>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</si>
  <si>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</si>
  <si>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</si>
  <si>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</si>
  <si>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</si>
  <si>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</si>
  <si>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</si>
  <si>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</si>
  <si>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</si>
  <si>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</si>
  <si>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</si>
  <si>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</si>
  <si>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</si>
  <si>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</si>
  <si>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</si>
  <si>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</si>
  <si>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</si>
  <si>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</si>
  <si>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</si>
  <si>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</si>
  <si>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</si>
  <si>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</si>
  <si>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</si>
  <si>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</si>
  <si>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</si>
  <si>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</si>
  <si>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</si>
  <si>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</si>
  <si>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</si>
  <si>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</si>
  <si>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</si>
  <si>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</si>
  <si>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</si>
  <si>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</si>
  <si>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</si>
  <si>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</si>
  <si>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</si>
  <si>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</si>
  <si>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</si>
  <si>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</si>
  <si>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</si>
  <si>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</si>
  <si>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</si>
  <si>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</si>
  <si>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</si>
  <si>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</si>
  <si>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</si>
  <si>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</si>
  <si>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</si>
  <si>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</si>
  <si>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</si>
  <si>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</si>
  <si>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</si>
  <si>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2
3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</si>
  <si>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</si>
  <si>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</si>
  <si>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</si>
  <si>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</si>
  <si>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</si>
  <si>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</si>
  <si>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</si>
  <si>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</si>
  <si>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</si>
  <si>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</si>
  <si>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</si>
  <si>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</si>
  <si>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</si>
  <si>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</si>
  <si>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</si>
  <si>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</si>
  <si>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</si>
  <si>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</si>
  <si>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</si>
  <si>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</si>
  <si>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</si>
  <si>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</si>
  <si>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</si>
  <si>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</si>
  <si>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TEC-9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</si>
  <si>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</si>
  <si>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</si>
  <si>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</si>
  <si>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</si>
  <si>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</si>
  <si>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</si>
  <si>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</si>
  <si>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</si>
  <si>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Skorpion (1 Grenade)</t>
  </si>
  <si>
    <t>TEC-9 (1 Grenade)</t>
  </si>
  <si>
    <t>Terrorist 1</t>
  </si>
  <si>
    <t>Makarov (2 Grenades)</t>
  </si>
  <si>
    <t>RPG-7 (2 Rockets)</t>
  </si>
  <si>
    <t>M1911 (2 Grenades)</t>
  </si>
  <si>
    <t>M1911 (1 High-ex)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</si>
  <si>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</si>
  <si>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</si>
  <si>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</si>
  <si>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</si>
  <si>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</si>
  <si>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</si>
  <si>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</si>
  <si>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</si>
  <si>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</si>
  <si>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</si>
  <si>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</si>
  <si>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</si>
  <si>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</si>
  <si>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</si>
  <si>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</si>
  <si>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</si>
  <si>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</si>
  <si>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</si>
  <si>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</si>
  <si>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</si>
  <si>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</si>
  <si>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</si>
  <si>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</si>
  <si>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</si>
  <si>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</si>
  <si>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</si>
  <si>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</si>
  <si>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</si>
  <si>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</si>
  <si>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</si>
  <si>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</si>
  <si>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</si>
  <si>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</si>
  <si>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</si>
  <si>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</si>
  <si>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</si>
  <si>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</si>
  <si>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</si>
  <si>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</si>
  <si>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25
50</t>
  </si>
  <si>
    <t>Sky Scraper Raid</t>
  </si>
  <si>
    <t>Large</t>
  </si>
  <si>
    <t>0
500</t>
  </si>
  <si>
    <t>3-4</t>
  </si>
  <si>
    <t>4-5</t>
  </si>
  <si>
    <t>5-7</t>
  </si>
  <si>
    <t>6-8</t>
  </si>
  <si>
    <t>8-10</t>
  </si>
  <si>
    <t>2-3</t>
  </si>
  <si>
    <t>2-4</t>
  </si>
  <si>
    <t>3-5</t>
  </si>
  <si>
    <t>4-6</t>
  </si>
  <si>
    <t>7-10</t>
  </si>
  <si>
    <t>8-12</t>
  </si>
  <si>
    <t>10-14</t>
  </si>
  <si>
    <t>9-12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</si>
  <si>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</si>
  <si>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</si>
  <si>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</si>
  <si>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</si>
  <si>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</si>
  <si>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</si>
  <si>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</si>
  <si>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</si>
  <si>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</si>
  <si>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</si>
  <si>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</si>
  <si>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</si>
  <si>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</si>
  <si>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</si>
  <si>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</si>
  <si>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</si>
  <si>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</si>
  <si>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</si>
  <si>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</si>
  <si>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</si>
  <si>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</si>
  <si>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</si>
  <si>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</si>
  <si>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</si>
  <si>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</si>
  <si>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</si>
  <si>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</si>
  <si>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</si>
  <si>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</si>
  <si>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</si>
  <si>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</si>
  <si>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</si>
  <si>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</si>
  <si>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</si>
  <si>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</si>
  <si>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</si>
  <si>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</si>
  <si>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AKM/AKs-74u/?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</si>
  <si>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</si>
  <si>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</si>
  <si>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</si>
  <si>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</si>
  <si>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</si>
  <si>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</si>
  <si>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</si>
  <si>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SKS/Dragunov/SKS</t>
  </si>
  <si>
    <t>FN FAL (scoped)/Dragunov/FN FAL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</si>
  <si>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</si>
  <si>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</si>
  <si>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</si>
  <si>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</si>
  <si>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</si>
  <si>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</si>
  <si>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</si>
  <si>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AK-74/G3?</t>
  </si>
  <si>
    <t>AR-18/G3?</t>
  </si>
  <si>
    <t>Remington 870/M9/Deagle</t>
  </si>
  <si>
    <t>TEC-9/Glock18/Spas 12</t>
  </si>
  <si>
    <t>M16/M16 (m203 Smoke)/Deagle</t>
  </si>
  <si>
    <t>AR-18/Spas 12/G3</t>
  </si>
  <si>
    <t>AKM/AK-74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</si>
  <si>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</si>
  <si>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</si>
  <si>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</si>
  <si>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</si>
  <si>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</si>
  <si>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</si>
  <si>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</si>
  <si>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</si>
  <si>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</si>
  <si>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</si>
  <si>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</si>
  <si>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</si>
  <si>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</si>
  <si>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</si>
  <si>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</si>
  <si>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</si>
  <si>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</si>
  <si>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</si>
  <si>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</si>
  <si>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</si>
  <si>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</si>
  <si>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</si>
  <si>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</si>
  <si>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</si>
  <si>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</si>
  <si>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</si>
  <si>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</si>
  <si>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</si>
  <si>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</si>
  <si>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</si>
  <si>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</si>
  <si>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</si>
  <si>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</si>
  <si>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</si>
  <si>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</si>
  <si>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</si>
  <si>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</si>
  <si>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</si>
  <si>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</si>
  <si>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</si>
  <si>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</si>
  <si>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</si>
  <si>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</si>
  <si>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</si>
  <si>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</si>
  <si>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</si>
  <si>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</si>
  <si>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</si>
  <si>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</si>
  <si>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</si>
  <si>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</si>
  <si>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M3 Grease Gun/TEC-9/M3 Grease Gun + (1 Grenade)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</si>
  <si>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</si>
  <si>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</si>
  <si>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</si>
  <si>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</si>
  <si>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</si>
  <si>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</si>
  <si>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</si>
  <si>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</si>
  <si>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RPG-7/RPG-7/Ak-74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</si>
  <si>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</si>
  <si>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</si>
  <si>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</si>
  <si>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</si>
  <si>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</si>
  <si>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</si>
  <si>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</si>
  <si>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</si>
  <si>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</si>
  <si>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</si>
  <si>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</si>
  <si>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</si>
  <si>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</si>
  <si>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</si>
  <si>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</si>
  <si>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</si>
  <si>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</si>
  <si>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</si>
  <si>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</si>
  <si>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</si>
  <si>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</si>
  <si>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</si>
  <si>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</si>
  <si>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</si>
  <si>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</si>
  <si>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</si>
  <si>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</si>
  <si>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</si>
  <si>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</si>
  <si>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</si>
  <si>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</si>
  <si>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</si>
  <si>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AR-18/G3/Spas 12 (Inc)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</si>
  <si>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</si>
  <si>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</si>
  <si>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</si>
  <si>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</si>
  <si>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</si>
  <si>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</si>
  <si>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</si>
  <si>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</si>
  <si>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</si>
  <si>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</si>
  <si>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</si>
  <si>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</si>
  <si>
    <t>ACR</t>
  </si>
  <si>
    <t>M4 Carbine/ACR/Deagle</t>
  </si>
  <si>
    <t>M4 Carbine/FX-05/FX-05</t>
  </si>
  <si>
    <t>Kriss Vector/ACR/Gold Deagle</t>
  </si>
  <si>
    <t>Vest + Riot (35)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</si>
</sst>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6" totalsRowShown="0" headerRowDxfId="14" headerRowBorderDxfId="13" tableBorderDxfId="12">
  <autoFilter ref="A1:AA56" xr:uid="{8241084F-89A0-47CD-965A-F8C6F1FCBC05}"/>
  <sortState xmlns:xlrd2="http://schemas.microsoft.com/office/spreadsheetml/2017/richdata2" ref="A2:AA55">
    <sortCondition ref="A1:A55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8" headerRowBorderDxfId="7" tableBorderDxfId="6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topLeftCell="A19" workbookViewId="0">
      <selection activeCell="D31" sqref="D31"/>
    </sheetView>
  </sheetViews>
  <sheetFormatPr defaultRowHeight="15" x14ac:dyDescent="0.25"/>
  <cols>
    <col min="1" max="1" width="14.140625" customWidth="1"/>
    <col min="2" max="2" width="22" customWidth="1"/>
    <col min="4" max="4" width="13.85546875" customWidth="1"/>
    <col min="5" max="5" width="14.85546875" customWidth="1"/>
    <col min="6" max="6" width="14.7109375" customWidth="1"/>
    <col min="7" max="7" width="14.85546875" customWidth="1"/>
    <col min="8" max="8" width="14.7109375" customWidth="1"/>
    <col min="9" max="9" width="131.85546875" customWidth="1"/>
    <col min="12" max="12" width="20.28515625" customWidth="1"/>
  </cols>
  <sheetData>
    <row r="1" spans="1:17" x14ac:dyDescent="0.25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25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25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25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25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25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25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25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25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25">
      <c r="A10" s="3"/>
      <c r="B10" t="s">
        <v>426</v>
      </c>
      <c r="C10">
        <v>40</v>
      </c>
      <c r="D10">
        <v>0</v>
      </c>
      <c r="E10">
        <v>6</v>
      </c>
      <c r="F10">
        <v>1</v>
      </c>
      <c r="I10" t="s">
        <v>428</v>
      </c>
    </row>
    <row r="11" spans="1:17" x14ac:dyDescent="0.25">
      <c r="A11" s="56"/>
      <c r="B11" t="s">
        <v>442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25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25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25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25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25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25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25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25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25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25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25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25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25">
      <c r="A24" s="5"/>
      <c r="B24" t="s">
        <v>546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25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25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25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25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25">
      <c r="A29" s="7"/>
      <c r="B29" t="s">
        <v>447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448</v>
      </c>
    </row>
    <row r="30" spans="1:19" x14ac:dyDescent="0.25">
      <c r="A30" s="7"/>
      <c r="B30" t="s">
        <v>450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451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25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25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25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25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25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25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25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25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25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25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25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25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25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25">
      <c r="A44" s="9"/>
      <c r="B44" t="s">
        <v>524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530</v>
      </c>
    </row>
    <row r="45" spans="1:19" x14ac:dyDescent="0.25">
      <c r="A45" s="9"/>
      <c r="B45" t="s">
        <v>541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540</v>
      </c>
    </row>
    <row r="46" spans="1:19" x14ac:dyDescent="0.25">
      <c r="A46" s="9"/>
      <c r="B46" t="s">
        <v>542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25">
      <c r="A47" s="9"/>
    </row>
    <row r="48" spans="1:19" x14ac:dyDescent="0.25">
      <c r="A48" s="53" t="s">
        <v>449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25">
      <c r="A49" s="54"/>
      <c r="B49" s="14" t="s">
        <v>440</v>
      </c>
      <c r="C49">
        <v>40</v>
      </c>
      <c r="D49">
        <v>0</v>
      </c>
      <c r="E49">
        <v>6</v>
      </c>
      <c r="F49">
        <v>7</v>
      </c>
      <c r="I49" t="s">
        <v>441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5" x14ac:dyDescent="0.25"/>
  <cols>
    <col min="1" max="1" width="14.8554687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42578125" customWidth="1"/>
    <col min="23" max="23" width="8.85546875" customWidth="1"/>
    <col min="24" max="24" width="13.5703125" customWidth="1"/>
    <col min="25" max="25" width="11.5703125" customWidth="1"/>
    <col min="26" max="26" width="37" customWidth="1"/>
  </cols>
  <sheetData>
    <row r="1" spans="1:26" x14ac:dyDescent="0.25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25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25">
      <c r="A3" t="s">
        <v>425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426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429</v>
      </c>
    </row>
    <row r="4" spans="1:26" x14ac:dyDescent="0.25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25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25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25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25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25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25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25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25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25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25">
      <c r="A15" t="s">
        <v>459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25">
      <c r="A16" t="s">
        <v>523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topLeftCell="A7" workbookViewId="0">
      <pane xSplit="1" topLeftCell="B1" activePane="topRight" state="frozen"/>
      <selection pane="topRight" activeCell="N24" sqref="N24"/>
    </sheetView>
  </sheetViews>
  <sheetFormatPr defaultRowHeight="15" x14ac:dyDescent="0.25"/>
  <cols>
    <col min="1" max="1" width="14.42578125" customWidth="1"/>
    <col min="2" max="2" width="9.28515625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5703125" customWidth="1"/>
    <col min="24" max="24" width="13.5703125" customWidth="1"/>
    <col min="25" max="25" width="12" customWidth="1"/>
    <col min="26" max="26" width="26.5703125" customWidth="1"/>
  </cols>
  <sheetData>
    <row r="1" spans="1:26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25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25">
      <c r="A3" t="s">
        <v>436</v>
      </c>
      <c r="B3">
        <v>18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25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25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25">
      <c r="A6" t="s">
        <v>455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25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25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25">
      <c r="A9" t="s">
        <v>445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442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443</v>
      </c>
    </row>
    <row r="10" spans="1:26" x14ac:dyDescent="0.25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25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25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25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25">
      <c r="A15" t="s">
        <v>431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432</v>
      </c>
    </row>
    <row r="16" spans="1:26" x14ac:dyDescent="0.25">
      <c r="A16" t="s">
        <v>532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25">
      <c r="A17" t="s">
        <v>579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7"/>
  <sheetViews>
    <sheetView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Z57" sqref="Z57"/>
    </sheetView>
  </sheetViews>
  <sheetFormatPr defaultRowHeight="15" x14ac:dyDescent="0.25"/>
  <cols>
    <col min="1" max="1" width="20.7109375" customWidth="1"/>
    <col min="2" max="2" width="9.28515625" customWidth="1"/>
    <col min="5" max="5" width="18.5703125" customWidth="1"/>
    <col min="6" max="6" width="13.710937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28515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4.42578125" customWidth="1"/>
    <col min="24" max="24" width="11.5703125" customWidth="1"/>
    <col min="25" max="25" width="13.5703125" customWidth="1"/>
    <col min="26" max="26" width="11.7109375" customWidth="1"/>
    <col min="27" max="27" width="29.71093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25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25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25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25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25">
      <c r="A7" t="s">
        <v>539</v>
      </c>
      <c r="B7">
        <v>31</v>
      </c>
      <c r="C7" t="s">
        <v>90</v>
      </c>
      <c r="D7" t="s">
        <v>76</v>
      </c>
      <c r="E7" t="s">
        <v>537</v>
      </c>
      <c r="F7" t="b">
        <v>1</v>
      </c>
      <c r="G7">
        <v>50</v>
      </c>
      <c r="H7">
        <v>125</v>
      </c>
      <c r="I7">
        <v>55</v>
      </c>
      <c r="J7">
        <v>70</v>
      </c>
      <c r="K7">
        <v>60</v>
      </c>
      <c r="L7">
        <v>50</v>
      </c>
      <c r="M7">
        <v>35</v>
      </c>
      <c r="N7">
        <v>35</v>
      </c>
      <c r="O7">
        <v>24</v>
      </c>
      <c r="P7">
        <v>16</v>
      </c>
      <c r="Q7">
        <v>10</v>
      </c>
      <c r="R7">
        <v>200</v>
      </c>
      <c r="S7">
        <v>0</v>
      </c>
      <c r="T7">
        <v>3</v>
      </c>
      <c r="U7">
        <v>1</v>
      </c>
      <c r="V7">
        <v>5</v>
      </c>
      <c r="W7" t="s">
        <v>19</v>
      </c>
      <c r="X7" cm="1">
        <f t="array" aca="1" ref="X7" ca="1">INDEX(Caliber!B13:'Caliber'!C23,MATCH(INDIRECT(ADDRESS(ROW(),COLUMN()-1)),Caliber!B13:'Caliber'!B23,0),2)</f>
        <v>36</v>
      </c>
      <c r="Y7" cm="1">
        <f t="array" aca="1" ref="Y7" ca="1">INDEX(Caliber!C13:'Caliber'!D23,MATCH(INDIRECT(ADDRESS(ROW(),COLUMN()-2)),Caliber!B13:'Caliber'!B23,0),2)</f>
        <v>0.3</v>
      </c>
      <c r="Z7" t="s">
        <v>538</v>
      </c>
    </row>
    <row r="8" spans="1:27" x14ac:dyDescent="0.25">
      <c r="A8" t="s">
        <v>203</v>
      </c>
      <c r="B8">
        <v>24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55</v>
      </c>
      <c r="J8">
        <v>45</v>
      </c>
      <c r="K8">
        <v>60</v>
      </c>
      <c r="L8">
        <v>55</v>
      </c>
      <c r="M8">
        <v>65</v>
      </c>
      <c r="N8">
        <v>25</v>
      </c>
      <c r="O8">
        <v>28</v>
      </c>
      <c r="P8">
        <v>38</v>
      </c>
      <c r="Q8">
        <v>7</v>
      </c>
      <c r="R8">
        <v>200</v>
      </c>
      <c r="S8">
        <v>0</v>
      </c>
      <c r="T8">
        <v>3</v>
      </c>
      <c r="U8">
        <v>1</v>
      </c>
      <c r="V8">
        <v>5</v>
      </c>
      <c r="W8" t="s">
        <v>25</v>
      </c>
      <c r="X8" cm="1">
        <f t="array" aca="1" ref="X8" ca="1">INDEX(Caliber!B13:'Caliber'!C23,MATCH(INDIRECT(ADDRESS(ROW(),COLUMN()-1)),Caliber!B13:'Caliber'!B23,0),2)</f>
        <v>43</v>
      </c>
      <c r="Y8" cm="1">
        <f t="array" aca="1" ref="Y8" ca="1">INDEX(Caliber!C13:'Caliber'!D23,MATCH(INDIRECT(ADDRESS(ROW(),COLUMN()-2)),Caliber!B13:'Caliber'!B23,0),2)</f>
        <v>0.6</v>
      </c>
      <c r="Z8" t="s">
        <v>137</v>
      </c>
    </row>
    <row r="9" spans="1:27" x14ac:dyDescent="0.25">
      <c r="A9" t="s">
        <v>457</v>
      </c>
      <c r="B9">
        <v>21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50</v>
      </c>
      <c r="J9">
        <v>41</v>
      </c>
      <c r="K9">
        <v>57</v>
      </c>
      <c r="L9">
        <v>48</v>
      </c>
      <c r="M9">
        <v>61</v>
      </c>
      <c r="N9">
        <v>37</v>
      </c>
      <c r="O9">
        <v>24</v>
      </c>
      <c r="P9">
        <v>34</v>
      </c>
      <c r="Q9">
        <v>10</v>
      </c>
      <c r="R9">
        <v>200</v>
      </c>
      <c r="S9">
        <v>0</v>
      </c>
      <c r="T9">
        <v>3</v>
      </c>
      <c r="U9">
        <v>1</v>
      </c>
      <c r="V9">
        <v>5</v>
      </c>
      <c r="W9" t="s">
        <v>19</v>
      </c>
      <c r="X9" cm="1">
        <f t="array" aca="1" ref="X9" ca="1">INDEX(Caliber!B13:'Caliber'!C23,MATCH(INDIRECT(ADDRESS(ROW(),COLUMN()-1)),Caliber!B13:'Caliber'!B23,0),2)</f>
        <v>36</v>
      </c>
      <c r="Y9" cm="1">
        <f t="array" aca="1" ref="Y9" ca="1">INDEX(Caliber!C13:'Caliber'!D23,MATCH(INDIRECT(ADDRESS(ROW(),COLUMN()-2)),Caliber!B13:'Caliber'!B23,0),2)</f>
        <v>0.3</v>
      </c>
      <c r="Z9" t="s">
        <v>134</v>
      </c>
    </row>
    <row r="10" spans="1:27" x14ac:dyDescent="0.25">
      <c r="A10" t="s">
        <v>458</v>
      </c>
      <c r="B10">
        <v>19</v>
      </c>
      <c r="C10" t="s">
        <v>90</v>
      </c>
      <c r="D10" t="s">
        <v>76</v>
      </c>
      <c r="E10" t="s">
        <v>76</v>
      </c>
      <c r="F10" t="b">
        <v>1</v>
      </c>
      <c r="G10">
        <v>50</v>
      </c>
      <c r="H10">
        <v>125</v>
      </c>
      <c r="I10">
        <v>70</v>
      </c>
      <c r="J10">
        <v>38</v>
      </c>
      <c r="K10">
        <v>55</v>
      </c>
      <c r="L10">
        <v>68</v>
      </c>
      <c r="M10">
        <v>61</v>
      </c>
      <c r="N10">
        <v>37</v>
      </c>
      <c r="O10">
        <v>29</v>
      </c>
      <c r="P10">
        <v>36</v>
      </c>
      <c r="Q10">
        <v>15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19</v>
      </c>
      <c r="X10" cm="1">
        <f t="array" aca="1" ref="X10" ca="1">INDEX(Caliber!B13:'Caliber'!C23,MATCH(INDIRECT(ADDRESS(ROW(),COLUMN()-1)),Caliber!B13:'Caliber'!B23,0),2)</f>
        <v>36</v>
      </c>
      <c r="Y10" cm="1">
        <f t="array" aca="1" ref="Y10" ca="1">INDEX(Caliber!C13:'Caliber'!D23,MATCH(INDIRECT(ADDRESS(ROW(),COLUMN()-2)),Caliber!B13:'Caliber'!B23,0),2)</f>
        <v>0.3</v>
      </c>
      <c r="Z10" t="s">
        <v>134</v>
      </c>
    </row>
    <row r="11" spans="1:27" x14ac:dyDescent="0.25">
      <c r="A11" t="s">
        <v>201</v>
      </c>
      <c r="B11">
        <v>22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60</v>
      </c>
      <c r="J11">
        <v>35</v>
      </c>
      <c r="K11">
        <v>60</v>
      </c>
      <c r="L11">
        <v>55</v>
      </c>
      <c r="M11">
        <v>55</v>
      </c>
      <c r="N11">
        <v>40</v>
      </c>
      <c r="O11">
        <v>33</v>
      </c>
      <c r="P11">
        <v>30</v>
      </c>
      <c r="Q11">
        <v>11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117</v>
      </c>
    </row>
    <row r="12" spans="1:27" x14ac:dyDescent="0.25">
      <c r="A12" t="s">
        <v>202</v>
      </c>
      <c r="B12">
        <v>22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70</v>
      </c>
      <c r="J12">
        <v>35</v>
      </c>
      <c r="K12" t="s">
        <v>76</v>
      </c>
      <c r="L12">
        <v>75</v>
      </c>
      <c r="M12">
        <v>45</v>
      </c>
      <c r="N12" t="s">
        <v>76</v>
      </c>
      <c r="O12">
        <v>34</v>
      </c>
      <c r="P12">
        <v>25</v>
      </c>
      <c r="Q12" t="s">
        <v>76</v>
      </c>
      <c r="R12">
        <v>200</v>
      </c>
      <c r="S12">
        <v>0</v>
      </c>
      <c r="T12">
        <v>1</v>
      </c>
      <c r="U12">
        <v>1</v>
      </c>
      <c r="V12" t="s">
        <v>76</v>
      </c>
      <c r="W12" t="s">
        <v>120</v>
      </c>
      <c r="X12">
        <f>INDEX(Caliber!B13:'Caliber'!C23,MATCH(W12,Caliber!B13:'Caliber'!B23,0),2)</f>
        <v>37</v>
      </c>
      <c r="Y12">
        <f>INDEX(Caliber!C13:'Caliber'!D23,MATCH(W12,Caliber!B13:'Caliber'!B23,0),2)</f>
        <v>0.4</v>
      </c>
      <c r="Z12" t="s">
        <v>117</v>
      </c>
    </row>
    <row r="13" spans="1:27" x14ac:dyDescent="0.25">
      <c r="A13" t="s">
        <v>139</v>
      </c>
      <c r="B13">
        <v>28</v>
      </c>
      <c r="C13" t="s">
        <v>90</v>
      </c>
      <c r="D13">
        <v>28000</v>
      </c>
      <c r="E13" t="s">
        <v>76</v>
      </c>
      <c r="F13" t="b">
        <v>1</v>
      </c>
      <c r="G13">
        <v>50</v>
      </c>
      <c r="H13">
        <v>125</v>
      </c>
      <c r="I13">
        <v>55</v>
      </c>
      <c r="J13">
        <v>45</v>
      </c>
      <c r="K13">
        <v>40</v>
      </c>
      <c r="L13">
        <v>55</v>
      </c>
      <c r="M13">
        <v>45</v>
      </c>
      <c r="N13">
        <v>50</v>
      </c>
      <c r="O13">
        <v>18</v>
      </c>
      <c r="P13">
        <v>28</v>
      </c>
      <c r="Q13">
        <v>12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125</v>
      </c>
      <c r="AA13" t="s">
        <v>140</v>
      </c>
    </row>
    <row r="14" spans="1:27" x14ac:dyDescent="0.25">
      <c r="A14" t="s">
        <v>141</v>
      </c>
      <c r="B14">
        <v>30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70</v>
      </c>
      <c r="J14">
        <v>45</v>
      </c>
      <c r="K14">
        <v>40</v>
      </c>
      <c r="L14">
        <v>74</v>
      </c>
      <c r="M14">
        <v>40</v>
      </c>
      <c r="N14">
        <v>35</v>
      </c>
      <c r="O14">
        <v>23</v>
      </c>
      <c r="P14">
        <v>33</v>
      </c>
      <c r="Q14">
        <v>12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125</v>
      </c>
      <c r="AA14" t="s">
        <v>140</v>
      </c>
    </row>
    <row r="15" spans="1:27" x14ac:dyDescent="0.25">
      <c r="A15" t="s">
        <v>206</v>
      </c>
      <c r="B15">
        <v>38</v>
      </c>
      <c r="C15" t="s">
        <v>90</v>
      </c>
      <c r="D15" t="s">
        <v>76</v>
      </c>
      <c r="E15" t="s">
        <v>76</v>
      </c>
      <c r="F15" t="b">
        <v>1</v>
      </c>
      <c r="G15">
        <v>50</v>
      </c>
      <c r="H15">
        <v>125</v>
      </c>
      <c r="I15">
        <v>80</v>
      </c>
      <c r="J15">
        <v>45</v>
      </c>
      <c r="K15">
        <v>65</v>
      </c>
      <c r="L15">
        <v>95</v>
      </c>
      <c r="M15">
        <v>50</v>
      </c>
      <c r="N15">
        <v>30</v>
      </c>
      <c r="O15">
        <v>50</v>
      </c>
      <c r="P15">
        <v>30</v>
      </c>
      <c r="Q15">
        <v>6</v>
      </c>
      <c r="R15">
        <v>200</v>
      </c>
      <c r="S15">
        <v>0</v>
      </c>
      <c r="T15">
        <v>1</v>
      </c>
      <c r="U15">
        <v>1</v>
      </c>
      <c r="V15">
        <v>3</v>
      </c>
      <c r="W15" t="s">
        <v>152</v>
      </c>
      <c r="X15" cm="1">
        <f t="array" aca="1" ref="X15" ca="1">INDEX(Caliber!B13:'Caliber'!C23,MATCH(INDIRECT(ADDRESS(ROW(),COLUMN()-1)),Caliber!B13:'Caliber'!B23,0),2)</f>
        <v>45</v>
      </c>
      <c r="Y15" cm="1">
        <f t="array" aca="1" ref="Y15" ca="1">INDEX(Caliber!C13:'Caliber'!D23,MATCH(INDIRECT(ADDRESS(ROW(),COLUMN()-2)),Caliber!B13:'Caliber'!B23,0),2)</f>
        <v>0.6</v>
      </c>
      <c r="Z15" t="s">
        <v>98</v>
      </c>
    </row>
    <row r="16" spans="1:27" x14ac:dyDescent="0.25">
      <c r="A16" t="s">
        <v>147</v>
      </c>
      <c r="B16">
        <v>19</v>
      </c>
      <c r="C16" t="s">
        <v>90</v>
      </c>
      <c r="D16">
        <v>17500</v>
      </c>
      <c r="E16" t="s">
        <v>76</v>
      </c>
      <c r="F16" t="b">
        <v>1</v>
      </c>
      <c r="G16">
        <v>50</v>
      </c>
      <c r="H16">
        <v>125</v>
      </c>
      <c r="I16">
        <v>50</v>
      </c>
      <c r="J16">
        <v>35</v>
      </c>
      <c r="K16">
        <v>55</v>
      </c>
      <c r="L16">
        <v>55</v>
      </c>
      <c r="M16">
        <v>60</v>
      </c>
      <c r="N16">
        <v>40</v>
      </c>
      <c r="O16">
        <v>22</v>
      </c>
      <c r="P16">
        <v>32</v>
      </c>
      <c r="Q16">
        <v>10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117</v>
      </c>
    </row>
    <row r="17" spans="1:26" x14ac:dyDescent="0.25">
      <c r="A17" t="s">
        <v>189</v>
      </c>
      <c r="B17">
        <v>21</v>
      </c>
      <c r="C17" t="s">
        <v>90</v>
      </c>
      <c r="D17" t="s">
        <v>76</v>
      </c>
      <c r="E17" t="s">
        <v>76</v>
      </c>
      <c r="F17" t="b">
        <v>1</v>
      </c>
      <c r="G17">
        <v>50</v>
      </c>
      <c r="H17">
        <v>125</v>
      </c>
      <c r="I17">
        <v>65</v>
      </c>
      <c r="J17">
        <v>35</v>
      </c>
      <c r="K17">
        <v>55</v>
      </c>
      <c r="L17">
        <v>75</v>
      </c>
      <c r="M17">
        <v>55</v>
      </c>
      <c r="N17">
        <v>30</v>
      </c>
      <c r="O17">
        <v>27</v>
      </c>
      <c r="P17">
        <v>37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117</v>
      </c>
    </row>
    <row r="18" spans="1:26" x14ac:dyDescent="0.25">
      <c r="A18" t="s">
        <v>197</v>
      </c>
      <c r="B18">
        <v>30</v>
      </c>
      <c r="C18" t="s">
        <v>90</v>
      </c>
      <c r="D18">
        <v>85000</v>
      </c>
      <c r="E18" t="s">
        <v>76</v>
      </c>
      <c r="F18" t="b">
        <v>1</v>
      </c>
      <c r="G18">
        <v>50</v>
      </c>
      <c r="H18">
        <v>125</v>
      </c>
      <c r="I18">
        <v>60</v>
      </c>
      <c r="J18">
        <v>40</v>
      </c>
      <c r="K18">
        <v>45</v>
      </c>
      <c r="L18">
        <v>100</v>
      </c>
      <c r="M18">
        <v>80</v>
      </c>
      <c r="N18">
        <v>55</v>
      </c>
      <c r="O18">
        <v>45</v>
      </c>
      <c r="P18">
        <v>35</v>
      </c>
      <c r="Q18">
        <v>15</v>
      </c>
      <c r="R18">
        <v>200</v>
      </c>
      <c r="S18">
        <v>0</v>
      </c>
      <c r="T18">
        <v>3</v>
      </c>
      <c r="U18">
        <v>3</v>
      </c>
      <c r="V18">
        <v>5</v>
      </c>
      <c r="W18" t="s">
        <v>18</v>
      </c>
      <c r="X18">
        <f>INDEX(Caliber!B13:'Caliber'!C23,MATCH(W18,Caliber!B13:'Caliber'!B23,0),2)</f>
        <v>35</v>
      </c>
      <c r="Y18">
        <f>INDEX(Caliber!C13:'Caliber'!D23,MATCH(W18,Caliber!B13:'Caliber'!B23,0),2)</f>
        <v>0.3</v>
      </c>
      <c r="Z18" t="s">
        <v>109</v>
      </c>
    </row>
    <row r="19" spans="1:26" x14ac:dyDescent="0.25">
      <c r="A19" t="s">
        <v>207</v>
      </c>
      <c r="B19">
        <v>33</v>
      </c>
      <c r="C19" t="s">
        <v>90</v>
      </c>
      <c r="D19">
        <v>36000</v>
      </c>
      <c r="E19" t="s">
        <v>76</v>
      </c>
      <c r="F19" t="b">
        <v>1</v>
      </c>
      <c r="G19">
        <v>50</v>
      </c>
      <c r="H19">
        <v>125</v>
      </c>
      <c r="I19">
        <v>55</v>
      </c>
      <c r="J19">
        <v>45</v>
      </c>
      <c r="K19">
        <v>40</v>
      </c>
      <c r="L19">
        <v>75</v>
      </c>
      <c r="M19">
        <v>55</v>
      </c>
      <c r="N19">
        <v>35</v>
      </c>
      <c r="O19">
        <v>33</v>
      </c>
      <c r="P19">
        <v>36</v>
      </c>
      <c r="Q19">
        <v>11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152</v>
      </c>
      <c r="X19" cm="1">
        <f t="array" aca="1" ref="X19" ca="1">INDEX(Caliber!B13:'Caliber'!C23,MATCH(INDIRECT(ADDRESS(ROW(),COLUMN()-1)),Caliber!B13:'Caliber'!B23,0),2)</f>
        <v>45</v>
      </c>
      <c r="Y19" cm="1">
        <f t="array" aca="1" ref="Y19" ca="1">INDEX(Caliber!C13:'Caliber'!D23,MATCH(INDIRECT(ADDRESS(ROW(),COLUMN()-2)),Caliber!B13:'Caliber'!B23,0),2)</f>
        <v>0.6</v>
      </c>
      <c r="Z19" t="s">
        <v>208</v>
      </c>
    </row>
    <row r="20" spans="1:26" x14ac:dyDescent="0.25">
      <c r="A20" t="s">
        <v>142</v>
      </c>
      <c r="B20">
        <v>27</v>
      </c>
      <c r="C20" t="s">
        <v>90</v>
      </c>
      <c r="D20">
        <v>31000</v>
      </c>
      <c r="E20" t="s">
        <v>76</v>
      </c>
      <c r="F20" t="b">
        <v>1</v>
      </c>
      <c r="G20">
        <v>50</v>
      </c>
      <c r="H20">
        <v>125</v>
      </c>
      <c r="I20">
        <v>70</v>
      </c>
      <c r="J20">
        <v>50</v>
      </c>
      <c r="K20">
        <v>55</v>
      </c>
      <c r="L20">
        <v>80</v>
      </c>
      <c r="M20">
        <v>60</v>
      </c>
      <c r="N20">
        <v>45</v>
      </c>
      <c r="O20">
        <v>33</v>
      </c>
      <c r="P20">
        <v>35</v>
      </c>
      <c r="Q20">
        <v>10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125</v>
      </c>
    </row>
    <row r="21" spans="1:26" x14ac:dyDescent="0.25">
      <c r="A21" t="s">
        <v>143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70</v>
      </c>
      <c r="J21">
        <v>50</v>
      </c>
      <c r="K21">
        <v>70</v>
      </c>
      <c r="L21">
        <v>80</v>
      </c>
      <c r="M21">
        <v>60</v>
      </c>
      <c r="N21">
        <v>45</v>
      </c>
      <c r="O21">
        <v>33</v>
      </c>
      <c r="P21">
        <v>35</v>
      </c>
      <c r="Q21">
        <v>16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25">
      <c r="A22" t="s">
        <v>430</v>
      </c>
      <c r="B22">
        <v>23</v>
      </c>
      <c r="C22" t="s">
        <v>90</v>
      </c>
      <c r="D22">
        <v>31000</v>
      </c>
      <c r="E22" t="s">
        <v>76</v>
      </c>
      <c r="F22" t="b">
        <v>1</v>
      </c>
      <c r="G22">
        <v>50</v>
      </c>
      <c r="H22">
        <v>125</v>
      </c>
      <c r="I22">
        <v>66</v>
      </c>
      <c r="J22">
        <v>46</v>
      </c>
      <c r="K22">
        <v>51</v>
      </c>
      <c r="L22">
        <v>78</v>
      </c>
      <c r="M22">
        <v>58</v>
      </c>
      <c r="N22">
        <v>45</v>
      </c>
      <c r="O22">
        <v>30</v>
      </c>
      <c r="P22">
        <v>32</v>
      </c>
      <c r="Q22">
        <v>10</v>
      </c>
      <c r="R22">
        <v>200</v>
      </c>
      <c r="S22">
        <v>0</v>
      </c>
      <c r="T22">
        <v>3</v>
      </c>
      <c r="U22">
        <v>1</v>
      </c>
      <c r="V22">
        <v>5</v>
      </c>
      <c r="W22" t="s">
        <v>120</v>
      </c>
      <c r="X22" cm="1">
        <f t="array" aca="1" ref="X22" ca="1">INDEX(Caliber!B13:'Caliber'!C23,MATCH(INDIRECT(ADDRESS(ROW(),COLUMN()-1)),Caliber!B13:'Caliber'!B23,0),2)</f>
        <v>37</v>
      </c>
      <c r="Y22" cm="1">
        <f t="array" aca="1" ref="Y22" ca="1">INDEX(Caliber!C13:'Caliber'!D23,MATCH(INDIRECT(ADDRESS(ROW(),COLUMN()-2)),Caliber!B13:'Caliber'!B23,0),2)</f>
        <v>0.4</v>
      </c>
      <c r="Z22" t="s">
        <v>117</v>
      </c>
    </row>
    <row r="23" spans="1:26" x14ac:dyDescent="0.25">
      <c r="A23" t="s">
        <v>144</v>
      </c>
      <c r="B23">
        <v>25</v>
      </c>
      <c r="C23" t="s">
        <v>90</v>
      </c>
      <c r="D23">
        <v>35000</v>
      </c>
      <c r="E23" t="s">
        <v>76</v>
      </c>
      <c r="F23" t="b">
        <v>1</v>
      </c>
      <c r="G23">
        <v>50</v>
      </c>
      <c r="H23">
        <v>125</v>
      </c>
      <c r="I23">
        <v>55</v>
      </c>
      <c r="J23">
        <v>35</v>
      </c>
      <c r="K23">
        <v>65</v>
      </c>
      <c r="L23">
        <v>70</v>
      </c>
      <c r="M23">
        <v>65</v>
      </c>
      <c r="N23">
        <v>50</v>
      </c>
      <c r="O23">
        <v>30</v>
      </c>
      <c r="P23">
        <v>35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25">
      <c r="A24" t="s">
        <v>146</v>
      </c>
      <c r="B24">
        <v>37</v>
      </c>
      <c r="C24" t="s">
        <v>90</v>
      </c>
      <c r="D24" t="s">
        <v>76</v>
      </c>
      <c r="E24" t="s">
        <v>123</v>
      </c>
      <c r="F24" t="b">
        <v>1</v>
      </c>
      <c r="G24">
        <v>50</v>
      </c>
      <c r="H24">
        <v>125</v>
      </c>
      <c r="I24">
        <v>55</v>
      </c>
      <c r="J24">
        <v>32</v>
      </c>
      <c r="K24">
        <v>65</v>
      </c>
      <c r="L24">
        <v>70</v>
      </c>
      <c r="M24">
        <v>65</v>
      </c>
      <c r="N24">
        <v>50</v>
      </c>
      <c r="O24">
        <v>30</v>
      </c>
      <c r="P24">
        <v>35</v>
      </c>
      <c r="Q24">
        <v>18</v>
      </c>
      <c r="R24">
        <v>200</v>
      </c>
      <c r="S24">
        <v>0</v>
      </c>
      <c r="T24">
        <v>3</v>
      </c>
      <c r="U24">
        <v>1</v>
      </c>
      <c r="V24">
        <v>1</v>
      </c>
      <c r="W24" t="s">
        <v>120</v>
      </c>
      <c r="X24">
        <f>INDEX(Caliber!B13:'Caliber'!C23,MATCH(W24,Caliber!B13:'Caliber'!B23,0),2)</f>
        <v>37</v>
      </c>
      <c r="Y24">
        <f>INDEX(Caliber!C13:'Caliber'!D23,MATCH(W24,Caliber!B13:'Caliber'!B23,0),2)</f>
        <v>0.4</v>
      </c>
      <c r="Z24" t="s">
        <v>125</v>
      </c>
    </row>
    <row r="25" spans="1:26" x14ac:dyDescent="0.25">
      <c r="A25" t="s">
        <v>174</v>
      </c>
      <c r="B25">
        <v>34</v>
      </c>
      <c r="C25" t="s">
        <v>90</v>
      </c>
      <c r="D25" t="s">
        <v>76</v>
      </c>
      <c r="E25" t="s">
        <v>123</v>
      </c>
      <c r="F25" t="b">
        <v>1</v>
      </c>
      <c r="G25">
        <v>50</v>
      </c>
      <c r="H25">
        <v>125</v>
      </c>
      <c r="I25">
        <v>55</v>
      </c>
      <c r="J25">
        <v>32</v>
      </c>
      <c r="K25">
        <v>30</v>
      </c>
      <c r="L25">
        <v>70</v>
      </c>
      <c r="M25">
        <v>65</v>
      </c>
      <c r="N25">
        <v>50</v>
      </c>
      <c r="O25">
        <v>30</v>
      </c>
      <c r="P25">
        <v>35</v>
      </c>
      <c r="Q25">
        <v>7</v>
      </c>
      <c r="R25">
        <v>200</v>
      </c>
      <c r="S25">
        <v>0</v>
      </c>
      <c r="T25">
        <v>3</v>
      </c>
      <c r="U25">
        <v>1</v>
      </c>
      <c r="V25">
        <v>1</v>
      </c>
      <c r="W25" t="s">
        <v>120</v>
      </c>
      <c r="X25">
        <f>INDEX(Caliber!B13:'Caliber'!C23,MATCH(W25,Caliber!B13:'Caliber'!B23,0),2)</f>
        <v>37</v>
      </c>
      <c r="Y25">
        <f>INDEX(Caliber!C13:'Caliber'!D23,MATCH(W25,Caliber!B13:'Caliber'!B23,0),2)</f>
        <v>0.4</v>
      </c>
      <c r="Z25" t="s">
        <v>129</v>
      </c>
    </row>
    <row r="26" spans="1:26" x14ac:dyDescent="0.25">
      <c r="A26" t="s">
        <v>145</v>
      </c>
      <c r="B26">
        <v>27</v>
      </c>
      <c r="C26" t="s">
        <v>90</v>
      </c>
      <c r="D26" t="s">
        <v>76</v>
      </c>
      <c r="E26" t="s">
        <v>76</v>
      </c>
      <c r="F26" t="b">
        <v>1</v>
      </c>
      <c r="G26">
        <v>50</v>
      </c>
      <c r="H26">
        <v>125</v>
      </c>
      <c r="I26">
        <v>75</v>
      </c>
      <c r="J26">
        <v>32</v>
      </c>
      <c r="K26">
        <v>62</v>
      </c>
      <c r="L26">
        <v>90</v>
      </c>
      <c r="M26">
        <v>64</v>
      </c>
      <c r="N26">
        <v>50</v>
      </c>
      <c r="O26">
        <v>35</v>
      </c>
      <c r="P26">
        <v>40</v>
      </c>
      <c r="Q26">
        <v>13</v>
      </c>
      <c r="R26">
        <v>200</v>
      </c>
      <c r="S26">
        <v>0</v>
      </c>
      <c r="T26">
        <v>3</v>
      </c>
      <c r="U26">
        <v>1</v>
      </c>
      <c r="V26">
        <v>5</v>
      </c>
      <c r="W26" t="s">
        <v>120</v>
      </c>
      <c r="X26">
        <f>INDEX(Caliber!B13:'Caliber'!C23,MATCH(W26,Caliber!B13:'Caliber'!B23,0),2)</f>
        <v>37</v>
      </c>
      <c r="Y26">
        <f>INDEX(Caliber!C13:'Caliber'!D23,MATCH(W26,Caliber!B13:'Caliber'!B23,0),2)</f>
        <v>0.4</v>
      </c>
      <c r="Z26" t="s">
        <v>117</v>
      </c>
    </row>
    <row r="27" spans="1:26" x14ac:dyDescent="0.25">
      <c r="A27" t="s">
        <v>209</v>
      </c>
      <c r="B27">
        <v>31</v>
      </c>
      <c r="C27" t="s">
        <v>90</v>
      </c>
      <c r="D27">
        <v>39000</v>
      </c>
      <c r="E27" t="s">
        <v>76</v>
      </c>
      <c r="F27" t="b">
        <v>1</v>
      </c>
      <c r="G27">
        <v>50</v>
      </c>
      <c r="H27">
        <v>125</v>
      </c>
      <c r="I27">
        <v>65</v>
      </c>
      <c r="J27">
        <v>50</v>
      </c>
      <c r="K27">
        <v>65</v>
      </c>
      <c r="L27">
        <v>80</v>
      </c>
      <c r="M27">
        <v>65</v>
      </c>
      <c r="N27">
        <v>40</v>
      </c>
      <c r="O27">
        <v>37</v>
      </c>
      <c r="P27">
        <v>40</v>
      </c>
      <c r="Q27">
        <v>12</v>
      </c>
      <c r="R27">
        <v>200</v>
      </c>
      <c r="S27">
        <v>0</v>
      </c>
      <c r="T27">
        <v>3</v>
      </c>
      <c r="U27">
        <v>1</v>
      </c>
      <c r="V27">
        <v>5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25">
      <c r="A28" t="s">
        <v>210</v>
      </c>
      <c r="B28">
        <v>33</v>
      </c>
      <c r="C28" t="s">
        <v>90</v>
      </c>
      <c r="D28" t="s">
        <v>76</v>
      </c>
      <c r="E28" t="s">
        <v>76</v>
      </c>
      <c r="F28" t="b">
        <v>1</v>
      </c>
      <c r="G28">
        <v>50</v>
      </c>
      <c r="H28">
        <v>125</v>
      </c>
      <c r="I28">
        <v>80</v>
      </c>
      <c r="J28">
        <v>50</v>
      </c>
      <c r="K28">
        <v>65</v>
      </c>
      <c r="L28">
        <v>100</v>
      </c>
      <c r="M28">
        <v>60</v>
      </c>
      <c r="N28">
        <v>30</v>
      </c>
      <c r="O28">
        <v>42</v>
      </c>
      <c r="P28">
        <v>45</v>
      </c>
      <c r="Q28">
        <v>12</v>
      </c>
      <c r="R28">
        <v>200</v>
      </c>
      <c r="S28">
        <v>0</v>
      </c>
      <c r="T28">
        <v>3</v>
      </c>
      <c r="U28">
        <v>1</v>
      </c>
      <c r="V28">
        <v>5</v>
      </c>
      <c r="W28" t="s">
        <v>152</v>
      </c>
      <c r="X28" cm="1">
        <f t="array" aca="1" ref="X28" ca="1">INDEX(Caliber!B13:'Caliber'!C23,MATCH(INDIRECT(ADDRESS(ROW(),COLUMN()-1)),Caliber!B13:'Caliber'!B23,0),2)</f>
        <v>45</v>
      </c>
      <c r="Y28" cm="1">
        <f t="array" aca="1" ref="Y28" ca="1">INDEX(Caliber!C13:'Caliber'!D23,MATCH(INDIRECT(ADDRESS(ROW(),COLUMN()-2)),Caliber!B13:'Caliber'!B23,0),2)</f>
        <v>0.6</v>
      </c>
      <c r="Z28" t="s">
        <v>79</v>
      </c>
    </row>
    <row r="29" spans="1:26" x14ac:dyDescent="0.25">
      <c r="A29" t="s">
        <v>437</v>
      </c>
      <c r="B29">
        <v>30</v>
      </c>
      <c r="C29" t="s">
        <v>90</v>
      </c>
      <c r="D29">
        <v>17500</v>
      </c>
      <c r="E29" t="s">
        <v>76</v>
      </c>
      <c r="F29" t="b">
        <v>1</v>
      </c>
      <c r="G29">
        <v>50</v>
      </c>
      <c r="H29">
        <v>125</v>
      </c>
      <c r="I29">
        <v>55</v>
      </c>
      <c r="J29">
        <v>45</v>
      </c>
      <c r="K29">
        <v>40</v>
      </c>
      <c r="L29">
        <v>70</v>
      </c>
      <c r="M29">
        <v>50</v>
      </c>
      <c r="N29">
        <v>20</v>
      </c>
      <c r="O29">
        <v>36</v>
      </c>
      <c r="P29">
        <v>20</v>
      </c>
      <c r="Q29">
        <v>11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26</v>
      </c>
      <c r="X29" cm="1">
        <f t="array" aca="1" ref="X29" ca="1">INDEX(Caliber!B13:'Caliber'!C23,MATCH(INDIRECT(ADDRESS(ROW(),COLUMN()-1)),Caliber!B13:'Caliber'!B23,0),2)</f>
        <v>45</v>
      </c>
      <c r="Y29" cm="1">
        <f t="array" aca="1" ref="Y29" ca="1">INDEX(Caliber!C13:'Caliber'!D23,MATCH(INDIRECT(ADDRESS(ROW(),COLUMN()-2)),Caliber!B13:'Caliber'!B23,0),2)</f>
        <v>0.6</v>
      </c>
      <c r="Z29" t="s">
        <v>79</v>
      </c>
    </row>
    <row r="30" spans="1:26" x14ac:dyDescent="0.25">
      <c r="A30" t="s">
        <v>438</v>
      </c>
      <c r="B30">
        <v>32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70</v>
      </c>
      <c r="J30">
        <v>45</v>
      </c>
      <c r="K30">
        <v>40</v>
      </c>
      <c r="L30">
        <v>90</v>
      </c>
      <c r="M30">
        <v>65</v>
      </c>
      <c r="N30">
        <v>15</v>
      </c>
      <c r="O30">
        <v>50</v>
      </c>
      <c r="P30">
        <v>40</v>
      </c>
      <c r="Q30">
        <v>11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152</v>
      </c>
      <c r="X30" cm="1">
        <f t="array" aca="1" ref="X30" ca="1">INDEX(Caliber!B13:'Caliber'!C23,MATCH(INDIRECT(ADDRESS(ROW(),COLUMN()-1)),Caliber!B13:'Caliber'!B23,0),2)</f>
        <v>45</v>
      </c>
      <c r="Y30" cm="1">
        <f t="array" aca="1" ref="Y30" ca="1">INDEX(Caliber!C13:'Caliber'!D23,MATCH(INDIRECT(ADDRESS(ROW(),COLUMN()-2)),Caliber!B13:'Caliber'!B23,0),2)</f>
        <v>0.6</v>
      </c>
      <c r="Z30" t="s">
        <v>79</v>
      </c>
    </row>
    <row r="31" spans="1:26" x14ac:dyDescent="0.25">
      <c r="A31" t="s">
        <v>200</v>
      </c>
      <c r="B31">
        <v>22</v>
      </c>
      <c r="C31" t="s">
        <v>90</v>
      </c>
      <c r="D31">
        <v>12000</v>
      </c>
      <c r="E31" t="s">
        <v>76</v>
      </c>
      <c r="F31" t="b">
        <v>1</v>
      </c>
      <c r="G31">
        <v>50</v>
      </c>
      <c r="H31">
        <v>125</v>
      </c>
      <c r="I31">
        <v>70</v>
      </c>
      <c r="J31">
        <v>40</v>
      </c>
      <c r="K31">
        <v>55</v>
      </c>
      <c r="L31">
        <v>70</v>
      </c>
      <c r="M31">
        <v>60</v>
      </c>
      <c r="N31">
        <v>45</v>
      </c>
      <c r="O31">
        <v>36</v>
      </c>
      <c r="P31">
        <v>32</v>
      </c>
      <c r="Q31">
        <v>26</v>
      </c>
      <c r="R31">
        <v>200</v>
      </c>
      <c r="S31">
        <v>0</v>
      </c>
      <c r="T31">
        <v>1</v>
      </c>
      <c r="U31">
        <v>1</v>
      </c>
      <c r="V31">
        <v>3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25">
      <c r="A32" t="s">
        <v>434</v>
      </c>
      <c r="B32">
        <v>30</v>
      </c>
      <c r="C32" t="s">
        <v>90</v>
      </c>
      <c r="D32" t="s">
        <v>76</v>
      </c>
      <c r="E32" t="s">
        <v>435</v>
      </c>
      <c r="F32" t="b">
        <v>1</v>
      </c>
      <c r="G32">
        <v>50</v>
      </c>
      <c r="H32">
        <v>125</v>
      </c>
      <c r="I32">
        <v>70</v>
      </c>
      <c r="J32">
        <v>40</v>
      </c>
      <c r="K32">
        <v>55</v>
      </c>
      <c r="L32">
        <v>40</v>
      </c>
      <c r="M32">
        <v>60</v>
      </c>
      <c r="N32">
        <v>45</v>
      </c>
      <c r="O32">
        <v>16</v>
      </c>
      <c r="P32">
        <v>32</v>
      </c>
      <c r="Q32">
        <v>26</v>
      </c>
      <c r="R32">
        <v>200</v>
      </c>
      <c r="S32">
        <v>0</v>
      </c>
      <c r="T32">
        <v>1</v>
      </c>
      <c r="U32">
        <v>1</v>
      </c>
      <c r="V32">
        <v>3</v>
      </c>
      <c r="W32" t="s">
        <v>120</v>
      </c>
      <c r="X32" cm="1">
        <f t="array" aca="1" ref="X32" ca="1">INDEX(Caliber!B13:'Caliber'!C23,MATCH(INDIRECT(ADDRESS(ROW(),COLUMN()-1)),Caliber!B13:'Caliber'!B23,0),2)</f>
        <v>37</v>
      </c>
      <c r="Y32" cm="1">
        <f t="array" aca="1" ref="Y32" ca="1">INDEX(Caliber!C13:'Caliber'!D23,MATCH(INDIRECT(ADDRESS(ROW(),COLUMN()-2)),Caliber!B13:'Caliber'!B23,0),2)</f>
        <v>0.4</v>
      </c>
      <c r="Z32" t="s">
        <v>117</v>
      </c>
    </row>
    <row r="33" spans="1:26" x14ac:dyDescent="0.25">
      <c r="A33" t="s">
        <v>433</v>
      </c>
      <c r="B33">
        <v>24</v>
      </c>
      <c r="C33" t="s">
        <v>90</v>
      </c>
      <c r="D33" t="s">
        <v>76</v>
      </c>
      <c r="E33" t="s">
        <v>76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60</v>
      </c>
      <c r="L33">
        <v>90</v>
      </c>
      <c r="M33">
        <v>50</v>
      </c>
      <c r="N33">
        <v>60</v>
      </c>
      <c r="O33">
        <v>60</v>
      </c>
      <c r="P33">
        <v>40</v>
      </c>
      <c r="Q33">
        <v>50</v>
      </c>
      <c r="R33">
        <v>200</v>
      </c>
      <c r="S33">
        <v>0</v>
      </c>
      <c r="T33">
        <v>1</v>
      </c>
      <c r="U33">
        <v>1</v>
      </c>
      <c r="V33">
        <v>3</v>
      </c>
      <c r="W33" t="s">
        <v>120</v>
      </c>
      <c r="X33" cm="1">
        <f t="array" aca="1" ref="X33" ca="1">INDEX(Caliber!B13:'Caliber'!C23,MATCH(INDIRECT(ADDRESS(ROW(),COLUMN()-1)),Caliber!B13:'Caliber'!B23,0),2)</f>
        <v>37</v>
      </c>
      <c r="Y33" cm="1">
        <f t="array" aca="1" ref="Y33" ca="1">INDEX(Caliber!C13:'Caliber'!D23,MATCH(INDIRECT(ADDRESS(ROW(),COLUMN()-2)),Caliber!B13:'Caliber'!B23,0),2)</f>
        <v>0.4</v>
      </c>
      <c r="Z33" t="s">
        <v>117</v>
      </c>
    </row>
    <row r="34" spans="1:26" x14ac:dyDescent="0.25">
      <c r="A34" t="s">
        <v>130</v>
      </c>
      <c r="B34">
        <v>24</v>
      </c>
      <c r="C34" t="s">
        <v>90</v>
      </c>
      <c r="D34">
        <v>32000</v>
      </c>
      <c r="E34" t="s">
        <v>76</v>
      </c>
      <c r="F34" t="b">
        <v>1</v>
      </c>
      <c r="G34">
        <v>50</v>
      </c>
      <c r="H34">
        <v>125</v>
      </c>
      <c r="I34">
        <v>60</v>
      </c>
      <c r="J34">
        <v>40</v>
      </c>
      <c r="K34">
        <v>65</v>
      </c>
      <c r="L34">
        <v>70</v>
      </c>
      <c r="M34">
        <v>65</v>
      </c>
      <c r="N34">
        <v>40</v>
      </c>
      <c r="O34">
        <v>24</v>
      </c>
      <c r="P34">
        <v>31</v>
      </c>
      <c r="Q34">
        <v>5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25">
      <c r="A35" t="s">
        <v>132</v>
      </c>
      <c r="B35">
        <v>36</v>
      </c>
      <c r="C35" t="s">
        <v>90</v>
      </c>
      <c r="D35" t="s">
        <v>76</v>
      </c>
      <c r="E35" t="s">
        <v>123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65</v>
      </c>
      <c r="L35">
        <v>70</v>
      </c>
      <c r="M35">
        <v>65</v>
      </c>
      <c r="N35">
        <v>50</v>
      </c>
      <c r="O35">
        <v>24</v>
      </c>
      <c r="P35">
        <v>31</v>
      </c>
      <c r="Q35">
        <v>18</v>
      </c>
      <c r="R35">
        <v>200</v>
      </c>
      <c r="S35">
        <v>0</v>
      </c>
      <c r="T35">
        <v>3</v>
      </c>
      <c r="U35">
        <v>1</v>
      </c>
      <c r="V35">
        <v>1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125</v>
      </c>
    </row>
    <row r="36" spans="1:26" x14ac:dyDescent="0.25">
      <c r="A36" t="s">
        <v>172</v>
      </c>
      <c r="B36">
        <v>33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30</v>
      </c>
      <c r="L36">
        <v>70</v>
      </c>
      <c r="M36">
        <v>65</v>
      </c>
      <c r="N36">
        <v>50</v>
      </c>
      <c r="O36">
        <v>24</v>
      </c>
      <c r="P36">
        <v>31</v>
      </c>
      <c r="Q36">
        <v>7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129</v>
      </c>
    </row>
    <row r="37" spans="1:26" x14ac:dyDescent="0.25">
      <c r="A37" t="s">
        <v>131</v>
      </c>
      <c r="B37">
        <v>26</v>
      </c>
      <c r="C37" t="s">
        <v>90</v>
      </c>
      <c r="D37" t="s">
        <v>76</v>
      </c>
      <c r="E37" t="s">
        <v>76</v>
      </c>
      <c r="F37" t="b">
        <v>1</v>
      </c>
      <c r="G37">
        <v>50</v>
      </c>
      <c r="H37">
        <v>125</v>
      </c>
      <c r="I37">
        <v>80</v>
      </c>
      <c r="J37">
        <v>37</v>
      </c>
      <c r="K37">
        <v>62</v>
      </c>
      <c r="L37">
        <v>90</v>
      </c>
      <c r="M37">
        <v>65</v>
      </c>
      <c r="N37">
        <v>40</v>
      </c>
      <c r="O37">
        <v>29</v>
      </c>
      <c r="P37">
        <v>41</v>
      </c>
      <c r="Q37">
        <v>10</v>
      </c>
      <c r="R37">
        <v>200</v>
      </c>
      <c r="S37">
        <v>0</v>
      </c>
      <c r="T37">
        <v>3</v>
      </c>
      <c r="U37">
        <v>1</v>
      </c>
      <c r="V37">
        <v>5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117</v>
      </c>
    </row>
    <row r="38" spans="1:26" x14ac:dyDescent="0.25">
      <c r="A38" t="s">
        <v>169</v>
      </c>
      <c r="B38">
        <v>24</v>
      </c>
      <c r="C38" t="s">
        <v>90</v>
      </c>
      <c r="D38">
        <v>32000</v>
      </c>
      <c r="E38" t="s">
        <v>76</v>
      </c>
      <c r="F38" t="b">
        <v>1</v>
      </c>
      <c r="G38">
        <v>50</v>
      </c>
      <c r="H38">
        <v>125</v>
      </c>
      <c r="I38">
        <v>60</v>
      </c>
      <c r="J38">
        <v>40</v>
      </c>
      <c r="K38">
        <v>55</v>
      </c>
      <c r="L38">
        <v>75</v>
      </c>
      <c r="M38">
        <v>65</v>
      </c>
      <c r="N38">
        <v>50</v>
      </c>
      <c r="O38">
        <v>24</v>
      </c>
      <c r="P38">
        <v>31</v>
      </c>
      <c r="Q38">
        <v>7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25">
      <c r="A39" t="s">
        <v>171</v>
      </c>
      <c r="B39">
        <v>36</v>
      </c>
      <c r="C39" t="s">
        <v>90</v>
      </c>
      <c r="D39" t="s">
        <v>76</v>
      </c>
      <c r="E39" t="s">
        <v>123</v>
      </c>
      <c r="F39" t="b">
        <v>1</v>
      </c>
      <c r="G39">
        <v>50</v>
      </c>
      <c r="H39">
        <v>125</v>
      </c>
      <c r="I39">
        <v>60</v>
      </c>
      <c r="J39">
        <v>40</v>
      </c>
      <c r="K39">
        <v>65</v>
      </c>
      <c r="L39">
        <v>75</v>
      </c>
      <c r="M39">
        <v>65</v>
      </c>
      <c r="N39">
        <v>50</v>
      </c>
      <c r="O39">
        <v>24</v>
      </c>
      <c r="P39">
        <v>31</v>
      </c>
      <c r="Q39">
        <v>18</v>
      </c>
      <c r="R39">
        <v>200</v>
      </c>
      <c r="S39">
        <v>0</v>
      </c>
      <c r="T39">
        <v>3</v>
      </c>
      <c r="U39">
        <v>1</v>
      </c>
      <c r="V39">
        <v>1</v>
      </c>
      <c r="W39" t="s">
        <v>120</v>
      </c>
      <c r="X39">
        <f>INDEX(Caliber!B13:'Caliber'!C23,MATCH(W39,Caliber!B13:'Caliber'!B23,0),2)</f>
        <v>37</v>
      </c>
      <c r="Y39">
        <f>INDEX(Caliber!C13:'Caliber'!D23,MATCH(W39,Caliber!B13:'Caliber'!B23,0),2)</f>
        <v>0.4</v>
      </c>
      <c r="Z39" t="s">
        <v>125</v>
      </c>
    </row>
    <row r="40" spans="1:26" x14ac:dyDescent="0.25">
      <c r="A40" t="s">
        <v>173</v>
      </c>
      <c r="B40">
        <v>33</v>
      </c>
      <c r="C40" t="s">
        <v>90</v>
      </c>
      <c r="D40" t="s">
        <v>76</v>
      </c>
      <c r="E40" t="s">
        <v>123</v>
      </c>
      <c r="F40" t="b">
        <v>1</v>
      </c>
      <c r="G40">
        <v>50</v>
      </c>
      <c r="H40">
        <v>125</v>
      </c>
      <c r="I40">
        <v>60</v>
      </c>
      <c r="J40">
        <v>40</v>
      </c>
      <c r="K40">
        <v>30</v>
      </c>
      <c r="L40">
        <v>75</v>
      </c>
      <c r="M40">
        <v>65</v>
      </c>
      <c r="N40">
        <v>50</v>
      </c>
      <c r="O40">
        <v>24</v>
      </c>
      <c r="P40">
        <v>31</v>
      </c>
      <c r="Q40">
        <v>7</v>
      </c>
      <c r="R40">
        <v>200</v>
      </c>
      <c r="S40">
        <v>0</v>
      </c>
      <c r="T40">
        <v>3</v>
      </c>
      <c r="U40">
        <v>1</v>
      </c>
      <c r="V40">
        <v>1</v>
      </c>
      <c r="W40" t="s">
        <v>120</v>
      </c>
      <c r="X40">
        <f>INDEX(Caliber!B13:'Caliber'!C23,MATCH(W40,Caliber!B13:'Caliber'!B23,0),2)</f>
        <v>37</v>
      </c>
      <c r="Y40">
        <f>INDEX(Caliber!C13:'Caliber'!D23,MATCH(W40,Caliber!B13:'Caliber'!B23,0),2)</f>
        <v>0.4</v>
      </c>
      <c r="Z40" t="s">
        <v>129</v>
      </c>
    </row>
    <row r="41" spans="1:26" x14ac:dyDescent="0.25">
      <c r="A41" t="s">
        <v>170</v>
      </c>
      <c r="B41">
        <v>26</v>
      </c>
      <c r="C41" t="s">
        <v>90</v>
      </c>
      <c r="D41" t="s">
        <v>76</v>
      </c>
      <c r="E41" t="s">
        <v>76</v>
      </c>
      <c r="F41" t="b">
        <v>1</v>
      </c>
      <c r="G41">
        <v>50</v>
      </c>
      <c r="H41">
        <v>125</v>
      </c>
      <c r="I41">
        <v>80</v>
      </c>
      <c r="J41">
        <v>37</v>
      </c>
      <c r="K41">
        <v>53</v>
      </c>
      <c r="L41">
        <v>95</v>
      </c>
      <c r="M41">
        <v>65</v>
      </c>
      <c r="N41">
        <v>50</v>
      </c>
      <c r="O41">
        <v>29</v>
      </c>
      <c r="P41">
        <v>41</v>
      </c>
      <c r="Q41">
        <v>12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120</v>
      </c>
      <c r="X41">
        <f>INDEX(Caliber!B13:'Caliber'!C23,MATCH(W41,Caliber!B13:'Caliber'!B23,0),2)</f>
        <v>37</v>
      </c>
      <c r="Y41">
        <f>INDEX(Caliber!C13:'Caliber'!D23,MATCH(W41,Caliber!B13:'Caliber'!B23,0),2)</f>
        <v>0.4</v>
      </c>
      <c r="Z41" t="s">
        <v>117</v>
      </c>
    </row>
    <row r="42" spans="1:26" x14ac:dyDescent="0.25">
      <c r="A42" t="s">
        <v>204</v>
      </c>
      <c r="B42">
        <v>19</v>
      </c>
      <c r="C42" t="s">
        <v>90</v>
      </c>
      <c r="D42">
        <v>31000</v>
      </c>
      <c r="E42" t="s">
        <v>76</v>
      </c>
      <c r="F42" t="b">
        <v>1</v>
      </c>
      <c r="G42">
        <v>50</v>
      </c>
      <c r="H42">
        <v>125</v>
      </c>
      <c r="I42">
        <v>60</v>
      </c>
      <c r="J42">
        <v>45</v>
      </c>
      <c r="K42">
        <v>65</v>
      </c>
      <c r="L42">
        <v>70</v>
      </c>
      <c r="M42">
        <v>75</v>
      </c>
      <c r="N42">
        <v>45</v>
      </c>
      <c r="O42">
        <v>29</v>
      </c>
      <c r="P42">
        <v>39</v>
      </c>
      <c r="Q42">
        <v>8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25</v>
      </c>
      <c r="X42" cm="1">
        <f t="array" aca="1" ref="X42" ca="1">INDEX(Caliber!B13:'Caliber'!C23,MATCH(INDIRECT(ADDRESS(ROW(),COLUMN()-1)),Caliber!B13:'Caliber'!B23,0),2)</f>
        <v>43</v>
      </c>
      <c r="Y42" cm="1">
        <f t="array" aca="1" ref="Y42" ca="1">INDEX(Caliber!C13:'Caliber'!D23,MATCH(INDIRECT(ADDRESS(ROW(),COLUMN()-2)),Caliber!B13:'Caliber'!B23,0),2)</f>
        <v>0.6</v>
      </c>
      <c r="Z42" t="s">
        <v>137</v>
      </c>
    </row>
    <row r="43" spans="1:26" x14ac:dyDescent="0.25">
      <c r="A43" t="s">
        <v>193</v>
      </c>
      <c r="B43">
        <v>28</v>
      </c>
      <c r="C43" t="s">
        <v>90</v>
      </c>
      <c r="D43">
        <v>41000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85</v>
      </c>
      <c r="M43">
        <v>75</v>
      </c>
      <c r="N43">
        <v>45</v>
      </c>
      <c r="O43">
        <v>35</v>
      </c>
      <c r="P43">
        <v>40</v>
      </c>
      <c r="Q43">
        <v>12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152</v>
      </c>
      <c r="X43">
        <f>INDEX(Caliber!B13:'Caliber'!C23,MATCH(W43,Caliber!B13:'Caliber'!B23,0),2)</f>
        <v>45</v>
      </c>
      <c r="Y43">
        <f>INDEX(Caliber!C13:'Caliber'!D23,MATCH(W43,Caliber!B13:'Caliber'!B23,0),2)</f>
        <v>0.6</v>
      </c>
      <c r="Z43" t="s">
        <v>98</v>
      </c>
    </row>
    <row r="44" spans="1:26" x14ac:dyDescent="0.25">
      <c r="A44" t="s">
        <v>195</v>
      </c>
      <c r="B44">
        <v>38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85</v>
      </c>
      <c r="M44">
        <v>75</v>
      </c>
      <c r="N44">
        <v>45</v>
      </c>
      <c r="O44">
        <v>35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152</v>
      </c>
      <c r="X44">
        <f>INDEX(Caliber!B13:'Caliber'!C23,MATCH(W44,Caliber!B13:'Caliber'!B23,0),2)</f>
        <v>45</v>
      </c>
      <c r="Y44">
        <f>INDEX(Caliber!C13:'Caliber'!D23,MATCH(W44,Caliber!B13:'Caliber'!B23,0),2)</f>
        <v>0.6</v>
      </c>
      <c r="Z44" t="s">
        <v>196</v>
      </c>
    </row>
    <row r="45" spans="1:26" x14ac:dyDescent="0.25">
      <c r="A45" t="s">
        <v>194</v>
      </c>
      <c r="B45">
        <v>30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105</v>
      </c>
      <c r="M45">
        <v>75</v>
      </c>
      <c r="N45">
        <v>45</v>
      </c>
      <c r="O45">
        <v>35</v>
      </c>
      <c r="P45">
        <v>40</v>
      </c>
      <c r="Q45">
        <v>12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152</v>
      </c>
      <c r="X45">
        <f>INDEX(Caliber!B13:'Caliber'!C23,MATCH(W45,Caliber!B13:'Caliber'!B23,0),2)</f>
        <v>45</v>
      </c>
      <c r="Y45">
        <f>INDEX(Caliber!C13:'Caliber'!D23,MATCH(W45,Caliber!B13:'Caliber'!B23,0),2)</f>
        <v>0.6</v>
      </c>
      <c r="Z45" t="s">
        <v>98</v>
      </c>
    </row>
    <row r="46" spans="1:26" x14ac:dyDescent="0.25">
      <c r="A46" t="s">
        <v>190</v>
      </c>
      <c r="B46">
        <v>24</v>
      </c>
      <c r="C46" t="s">
        <v>90</v>
      </c>
      <c r="D46">
        <v>38000</v>
      </c>
      <c r="E46" t="s">
        <v>76</v>
      </c>
      <c r="F46" t="b">
        <v>1</v>
      </c>
      <c r="G46">
        <v>50</v>
      </c>
      <c r="H46">
        <v>125</v>
      </c>
      <c r="I46">
        <v>65</v>
      </c>
      <c r="J46">
        <v>45</v>
      </c>
      <c r="K46">
        <v>70</v>
      </c>
      <c r="L46">
        <v>80</v>
      </c>
      <c r="M46">
        <v>70</v>
      </c>
      <c r="N46">
        <v>50</v>
      </c>
      <c r="O46">
        <v>32</v>
      </c>
      <c r="P46">
        <v>35</v>
      </c>
      <c r="Q46">
        <v>14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120</v>
      </c>
      <c r="X46">
        <f>INDEX(Caliber!B13:'Caliber'!C23,MATCH(W46,Caliber!B13:'Caliber'!B23,0),2)</f>
        <v>37</v>
      </c>
      <c r="Y46">
        <f>INDEX(Caliber!C13:'Caliber'!D23,MATCH(W46,Caliber!B13:'Caliber'!B23,0),2)</f>
        <v>0.4</v>
      </c>
      <c r="Z46" t="s">
        <v>117</v>
      </c>
    </row>
    <row r="47" spans="1:26" x14ac:dyDescent="0.25">
      <c r="A47" t="s">
        <v>192</v>
      </c>
      <c r="B47">
        <v>34</v>
      </c>
      <c r="C47" t="s">
        <v>90</v>
      </c>
      <c r="D47" t="s">
        <v>76</v>
      </c>
      <c r="E47" t="s">
        <v>123</v>
      </c>
      <c r="F47" t="b">
        <v>1</v>
      </c>
      <c r="G47">
        <v>50</v>
      </c>
      <c r="H47">
        <v>125</v>
      </c>
      <c r="I47">
        <v>65</v>
      </c>
      <c r="J47">
        <v>45</v>
      </c>
      <c r="K47">
        <v>70</v>
      </c>
      <c r="L47">
        <v>80</v>
      </c>
      <c r="M47">
        <v>70</v>
      </c>
      <c r="N47">
        <v>45</v>
      </c>
      <c r="O47">
        <v>37</v>
      </c>
      <c r="P47">
        <v>40</v>
      </c>
      <c r="Q47">
        <v>16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120</v>
      </c>
      <c r="X47">
        <f>INDEX(Caliber!B13:'Caliber'!C23,MATCH(W47,Caliber!B13:'Caliber'!B23,0),2)</f>
        <v>37</v>
      </c>
      <c r="Y47">
        <f>INDEX(Caliber!C13:'Caliber'!D23,MATCH(W47,Caliber!B13:'Caliber'!B23,0),2)</f>
        <v>0.4</v>
      </c>
      <c r="Z47" t="s">
        <v>125</v>
      </c>
    </row>
    <row r="48" spans="1:26" x14ac:dyDescent="0.25">
      <c r="A48" t="s">
        <v>191</v>
      </c>
      <c r="B48">
        <v>26</v>
      </c>
      <c r="C48" t="s">
        <v>90</v>
      </c>
      <c r="D48" t="s">
        <v>76</v>
      </c>
      <c r="E48" t="s">
        <v>76</v>
      </c>
      <c r="F48" t="b">
        <v>1</v>
      </c>
      <c r="G48">
        <v>50</v>
      </c>
      <c r="H48">
        <v>125</v>
      </c>
      <c r="I48">
        <v>80</v>
      </c>
      <c r="J48">
        <v>42</v>
      </c>
      <c r="K48">
        <v>67</v>
      </c>
      <c r="L48">
        <v>100</v>
      </c>
      <c r="M48">
        <v>70</v>
      </c>
      <c r="N48">
        <v>50</v>
      </c>
      <c r="O48">
        <v>37</v>
      </c>
      <c r="P48">
        <v>40</v>
      </c>
      <c r="Q48">
        <v>14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25">
      <c r="A49" t="s">
        <v>198</v>
      </c>
      <c r="B49">
        <v>20</v>
      </c>
      <c r="C49" t="s">
        <v>90</v>
      </c>
      <c r="D49">
        <v>45000</v>
      </c>
      <c r="E49" t="s">
        <v>76</v>
      </c>
      <c r="F49" t="b">
        <v>1</v>
      </c>
      <c r="G49">
        <v>50</v>
      </c>
      <c r="H49">
        <v>125</v>
      </c>
      <c r="I49">
        <v>60</v>
      </c>
      <c r="J49">
        <v>40</v>
      </c>
      <c r="K49">
        <v>65</v>
      </c>
      <c r="L49">
        <v>70</v>
      </c>
      <c r="M49">
        <v>75</v>
      </c>
      <c r="N49">
        <v>40</v>
      </c>
      <c r="O49">
        <v>24</v>
      </c>
      <c r="P49">
        <v>34</v>
      </c>
      <c r="Q49">
        <v>8</v>
      </c>
      <c r="R49">
        <v>200</v>
      </c>
      <c r="S49">
        <v>0</v>
      </c>
      <c r="T49">
        <v>3</v>
      </c>
      <c r="U49">
        <v>1</v>
      </c>
      <c r="V49">
        <v>5</v>
      </c>
      <c r="W49" t="s">
        <v>28</v>
      </c>
      <c r="X49">
        <f>INDEX(Caliber!B13:'Caliber'!C23,MATCH(W49,Caliber!B13:'Caliber'!B23,0),2)</f>
        <v>51</v>
      </c>
      <c r="Y49">
        <f>INDEX(Caliber!C13:'Caliber'!D23,MATCH(W49,Caliber!B13:'Caliber'!B23,0),2)</f>
        <v>0.7</v>
      </c>
      <c r="Z49" t="s">
        <v>79</v>
      </c>
    </row>
    <row r="50" spans="1:26" x14ac:dyDescent="0.25">
      <c r="A50" t="s">
        <v>199</v>
      </c>
      <c r="B50">
        <v>20</v>
      </c>
      <c r="C50" t="s">
        <v>75</v>
      </c>
      <c r="D50" t="s">
        <v>76</v>
      </c>
      <c r="E50" t="s">
        <v>76</v>
      </c>
      <c r="F50" t="b">
        <v>0</v>
      </c>
      <c r="G50">
        <v>100</v>
      </c>
      <c r="H50">
        <v>100</v>
      </c>
      <c r="I50">
        <v>50</v>
      </c>
      <c r="J50">
        <v>30</v>
      </c>
      <c r="K50">
        <v>65</v>
      </c>
      <c r="L50">
        <v>30</v>
      </c>
      <c r="M50">
        <v>60</v>
      </c>
      <c r="N50">
        <v>10</v>
      </c>
      <c r="O50">
        <v>5</v>
      </c>
      <c r="P50">
        <v>15</v>
      </c>
      <c r="Q50">
        <v>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28</v>
      </c>
      <c r="X50">
        <f>INDEX(Caliber!B13:'Caliber'!C23,MATCH(W50,Caliber!B13:'Caliber'!B23,0),2)</f>
        <v>51</v>
      </c>
      <c r="Y50">
        <f>INDEX(Caliber!C13:'Caliber'!D23,MATCH(W50,Caliber!B13:'Caliber'!B23,0),2)</f>
        <v>0.7</v>
      </c>
      <c r="Z50" t="s">
        <v>79</v>
      </c>
    </row>
    <row r="51" spans="1:26" x14ac:dyDescent="0.25">
      <c r="A51" t="s">
        <v>121</v>
      </c>
      <c r="B51">
        <v>23</v>
      </c>
      <c r="C51" t="s">
        <v>90</v>
      </c>
      <c r="D51">
        <v>30000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45</v>
      </c>
      <c r="K51">
        <v>55</v>
      </c>
      <c r="L51">
        <v>50</v>
      </c>
      <c r="M51">
        <v>60</v>
      </c>
      <c r="N51">
        <v>55</v>
      </c>
      <c r="O51">
        <v>20</v>
      </c>
      <c r="P51">
        <v>30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25">
      <c r="A52" t="s">
        <v>122</v>
      </c>
      <c r="B52">
        <v>31</v>
      </c>
      <c r="C52" t="s">
        <v>90</v>
      </c>
      <c r="D52" t="s">
        <v>76</v>
      </c>
      <c r="E52" t="s">
        <v>123</v>
      </c>
      <c r="F52" t="b">
        <v>1</v>
      </c>
      <c r="G52">
        <v>50</v>
      </c>
      <c r="H52">
        <v>125</v>
      </c>
      <c r="I52">
        <v>50</v>
      </c>
      <c r="J52">
        <v>45</v>
      </c>
      <c r="K52">
        <v>75</v>
      </c>
      <c r="L52">
        <v>50</v>
      </c>
      <c r="M52">
        <v>60</v>
      </c>
      <c r="N52">
        <v>40</v>
      </c>
      <c r="O52">
        <v>20</v>
      </c>
      <c r="P52">
        <v>30</v>
      </c>
      <c r="Q52">
        <v>15</v>
      </c>
      <c r="R52">
        <v>200</v>
      </c>
      <c r="S52">
        <v>0</v>
      </c>
      <c r="T52">
        <v>3</v>
      </c>
      <c r="U52">
        <v>1</v>
      </c>
      <c r="V52">
        <v>1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125</v>
      </c>
    </row>
    <row r="53" spans="1:26" x14ac:dyDescent="0.25">
      <c r="A53" t="s">
        <v>126</v>
      </c>
      <c r="B53">
        <v>25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65</v>
      </c>
      <c r="J53">
        <v>45</v>
      </c>
      <c r="K53">
        <v>55</v>
      </c>
      <c r="L53">
        <v>70</v>
      </c>
      <c r="M53">
        <v>55</v>
      </c>
      <c r="N53">
        <v>50</v>
      </c>
      <c r="O53">
        <v>25</v>
      </c>
      <c r="P53">
        <v>35</v>
      </c>
      <c r="Q53">
        <v>12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120</v>
      </c>
      <c r="X53">
        <f>INDEX(Caliber!B13:'Caliber'!C23,MATCH(W53,Caliber!B13:'Caliber'!B23,0),2)</f>
        <v>37</v>
      </c>
      <c r="Y53">
        <f>INDEX(Caliber!C13:'Caliber'!D23,MATCH(W53,Caliber!B13:'Caliber'!B23,0),2)</f>
        <v>0.4</v>
      </c>
      <c r="Z53" t="s">
        <v>117</v>
      </c>
    </row>
    <row r="54" spans="1:26" x14ac:dyDescent="0.25">
      <c r="A54" t="s">
        <v>127</v>
      </c>
      <c r="B54">
        <v>24</v>
      </c>
      <c r="C54" t="s">
        <v>90</v>
      </c>
      <c r="D54">
        <v>40000</v>
      </c>
      <c r="E54" t="s">
        <v>76</v>
      </c>
      <c r="F54" t="b">
        <v>1</v>
      </c>
      <c r="G54">
        <v>50</v>
      </c>
      <c r="H54">
        <v>125</v>
      </c>
      <c r="I54">
        <v>50</v>
      </c>
      <c r="J54">
        <v>40</v>
      </c>
      <c r="K54">
        <v>52</v>
      </c>
      <c r="L54">
        <v>60</v>
      </c>
      <c r="M54">
        <v>65</v>
      </c>
      <c r="N54">
        <v>60</v>
      </c>
      <c r="O54">
        <v>22</v>
      </c>
      <c r="P54">
        <v>32</v>
      </c>
      <c r="Q54">
        <v>12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120</v>
      </c>
      <c r="X54">
        <f>INDEX(Caliber!B13:'Caliber'!C23,MATCH(W54,Caliber!B13:'Caliber'!B23,0),2)</f>
        <v>37</v>
      </c>
      <c r="Y54">
        <f>INDEX(Caliber!C13:'Caliber'!D23,MATCH(W54,Caliber!B13:'Caliber'!B23,0),2)</f>
        <v>0.4</v>
      </c>
      <c r="Z54" t="s">
        <v>117</v>
      </c>
    </row>
    <row r="55" spans="1:26" x14ac:dyDescent="0.25">
      <c r="A55" t="s">
        <v>128</v>
      </c>
      <c r="B55">
        <v>26</v>
      </c>
      <c r="C55" t="s">
        <v>90</v>
      </c>
      <c r="D55" t="s">
        <v>76</v>
      </c>
      <c r="E55" t="s">
        <v>76</v>
      </c>
      <c r="F55" t="b">
        <v>1</v>
      </c>
      <c r="G55">
        <v>50</v>
      </c>
      <c r="H55">
        <v>125</v>
      </c>
      <c r="I55">
        <v>65</v>
      </c>
      <c r="J55">
        <v>40</v>
      </c>
      <c r="K55">
        <v>52</v>
      </c>
      <c r="L55">
        <v>80</v>
      </c>
      <c r="M55">
        <v>60</v>
      </c>
      <c r="N55">
        <v>50</v>
      </c>
      <c r="O55">
        <v>27</v>
      </c>
      <c r="P55">
        <v>37</v>
      </c>
      <c r="Q55">
        <v>13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120</v>
      </c>
      <c r="X55">
        <f>INDEX(Caliber!B13:'Caliber'!C23,MATCH(W55,Caliber!B13:'Caliber'!B23,0),2)</f>
        <v>37</v>
      </c>
      <c r="Y55">
        <f>INDEX(Caliber!C13:'Caliber'!D23,MATCH(W55,Caliber!B13:'Caliber'!B23,0),2)</f>
        <v>0.4</v>
      </c>
      <c r="Z55" t="s">
        <v>117</v>
      </c>
    </row>
    <row r="56" spans="1:26" x14ac:dyDescent="0.25">
      <c r="A56" t="s">
        <v>590</v>
      </c>
      <c r="B56">
        <v>24</v>
      </c>
      <c r="C56" t="s">
        <v>90</v>
      </c>
      <c r="D56" t="s">
        <v>76</v>
      </c>
      <c r="E56" t="s">
        <v>76</v>
      </c>
      <c r="F56" t="b">
        <v>1</v>
      </c>
      <c r="G56">
        <v>50</v>
      </c>
      <c r="H56">
        <v>125</v>
      </c>
      <c r="I56">
        <v>45</v>
      </c>
      <c r="J56">
        <v>25</v>
      </c>
      <c r="K56" t="s">
        <v>76</v>
      </c>
      <c r="L56">
        <v>90</v>
      </c>
      <c r="M56">
        <v>75</v>
      </c>
      <c r="N56" t="s">
        <v>76</v>
      </c>
      <c r="O56">
        <v>39</v>
      </c>
      <c r="P56">
        <v>33</v>
      </c>
      <c r="Q56" t="s">
        <v>76</v>
      </c>
      <c r="R56">
        <v>200</v>
      </c>
      <c r="S56">
        <v>0</v>
      </c>
      <c r="T56">
        <v>1</v>
      </c>
      <c r="U56">
        <v>1</v>
      </c>
      <c r="V56" t="s">
        <v>76</v>
      </c>
      <c r="W56" t="s">
        <v>120</v>
      </c>
      <c r="X56">
        <f>INDEX(Caliber!B13:'Caliber'!C23,MATCH(W55,Caliber!B13:'Caliber'!B23,0),2)</f>
        <v>37</v>
      </c>
      <c r="Y56" cm="1">
        <f t="array" aca="1" ref="Y56" ca="1">INDEX(Caliber!C13:'Caliber'!D23,MATCH(INDIRECT(ADDRESS(ROW(),COLUMN()-2)),Caliber!B13:'Caliber'!B23,0),2)</f>
        <v>0.4</v>
      </c>
      <c r="Z56" t="s">
        <v>117</v>
      </c>
    </row>
    <row r="57" spans="1:26" x14ac:dyDescent="0.25">
      <c r="X57" t="e" cm="1">
        <f t="array" aca="1" ref="X57" ca="1">INDEX(Caliber!B13:'Caliber'!C23,MATCH(INDIRECT(ADDRESS(ROW(),COLUMN()-1)),Caliber!B13:'Caliber'!B23,0),2)</f>
        <v>#N/A</v>
      </c>
      <c r="Y57" t="e" cm="1">
        <f t="array" aca="1" ref="Y57" ca="1">INDEX(Caliber!C13:'Caliber'!D23,MATCH(INDIRECT(ADDRESS(ROW(),COLUMN()-2)),Caliber!B13:'Caliber'!B23,0),2)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workbookViewId="0">
      <pane xSplit="1" topLeftCell="B1" activePane="topRight" state="frozen"/>
      <selection pane="topRight" activeCell="X16" sqref="X16"/>
    </sheetView>
  </sheetViews>
  <sheetFormatPr defaultRowHeight="15" x14ac:dyDescent="0.25"/>
  <cols>
    <col min="1" max="1" width="12.140625" customWidth="1"/>
    <col min="2" max="2" width="9.28515625" customWidth="1"/>
    <col min="3" max="3" width="6.8554687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9.140625" customWidth="1"/>
    <col min="25" max="25" width="13.5703125" customWidth="1"/>
    <col min="26" max="26" width="11.7109375" customWidth="1"/>
    <col min="27" max="27" width="21.2851562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25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25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25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25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25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25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25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25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25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25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25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25">
      <c r="A14" t="s">
        <v>526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546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547</v>
      </c>
    </row>
    <row r="15" spans="1:27" x14ac:dyDescent="0.25">
      <c r="A15" t="s">
        <v>548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546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549</v>
      </c>
    </row>
    <row r="16" spans="1:27" x14ac:dyDescent="0.25">
      <c r="X16" t="e">
        <f>INDEX(Caliber!B13:'Caliber'!C23,MATCH(W16,Caliber!B13:'Caliber'!B23,0),2)</f>
        <v>#N/A</v>
      </c>
      <c r="Y16" t="e">
        <f>INDEX(Caliber!C13:'Caliber'!D23,MATCH(W16,Caliber!B13:'Caliber'!B23,0),2)</f>
        <v>#N/A</v>
      </c>
    </row>
    <row r="17" spans="24:25" x14ac:dyDescent="0.25">
      <c r="X17" t="e">
        <f>INDEX(Caliber!B13:'Caliber'!C23,MATCH(W17,Caliber!B13:'Caliber'!B23,0),2)</f>
        <v>#N/A</v>
      </c>
      <c r="Y17" t="e">
        <f>INDEX(Caliber!C13:'Caliber'!D23,MATCH(W17,Caliber!B13:'Caliber'!B23,0),2)</f>
        <v>#N/A</v>
      </c>
    </row>
    <row r="18" spans="24:25" x14ac:dyDescent="0.25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24:25" x14ac:dyDescent="0.25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24:25" x14ac:dyDescent="0.25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24:25" x14ac:dyDescent="0.25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24:25" x14ac:dyDescent="0.25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24:25" x14ac:dyDescent="0.25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24:25" x14ac:dyDescent="0.25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24:25" x14ac:dyDescent="0.25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24:25" x14ac:dyDescent="0.25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24:25" x14ac:dyDescent="0.25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24:25" x14ac:dyDescent="0.25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24:25" x14ac:dyDescent="0.25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24:25" x14ac:dyDescent="0.25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workbookViewId="0">
      <pane xSplit="1" topLeftCell="B1" activePane="topRight" state="frozen"/>
      <selection pane="topRight" activeCell="D19" sqref="D19"/>
    </sheetView>
  </sheetViews>
  <sheetFormatPr defaultRowHeight="15" x14ac:dyDescent="0.25"/>
  <cols>
    <col min="1" max="1" width="14" customWidth="1"/>
    <col min="2" max="2" width="9.28515625" customWidth="1"/>
    <col min="5" max="5" width="13.7109375" customWidth="1"/>
    <col min="6" max="6" width="16.140625" customWidth="1"/>
    <col min="7" max="7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425781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7109375" customWidth="1"/>
    <col min="24" max="24" width="11.5703125" customWidth="1"/>
    <col min="25" max="25" width="11.28515625" customWidth="1"/>
    <col min="26" max="26" width="13.5703125" customWidth="1"/>
    <col min="27" max="27" width="11.7109375" customWidth="1"/>
    <col min="28" max="28" width="25.14062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25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452</v>
      </c>
    </row>
    <row r="4" spans="1:28" x14ac:dyDescent="0.25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453</v>
      </c>
    </row>
    <row r="5" spans="1:28" x14ac:dyDescent="0.25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453</v>
      </c>
    </row>
    <row r="6" spans="1:28" x14ac:dyDescent="0.25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25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25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25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25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25">
      <c r="A11" t="s">
        <v>446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453</v>
      </c>
    </row>
    <row r="12" spans="1:28" x14ac:dyDescent="0.25">
      <c r="A12" t="s">
        <v>589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5" x14ac:dyDescent="0.25"/>
  <cols>
    <col min="1" max="1" width="13.2851562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7.28515625" customWidth="1"/>
    <col min="21" max="21" width="12.42578125" customWidth="1"/>
    <col min="22" max="22" width="12.28515625" customWidth="1"/>
    <col min="23" max="23" width="18.5703125" customWidth="1"/>
    <col min="25" max="25" width="13.5703125" customWidth="1"/>
    <col min="26" max="26" width="11.710937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578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25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25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25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25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25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25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25">
      <c r="A9" t="s">
        <v>444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442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443</v>
      </c>
    </row>
    <row r="10" spans="1:28" x14ac:dyDescent="0.25">
      <c r="A10" t="s">
        <v>559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25">
      <c r="A11" t="s">
        <v>563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25">
      <c r="A12" t="s">
        <v>564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443</v>
      </c>
    </row>
    <row r="13" spans="1:28" x14ac:dyDescent="0.25">
      <c r="A13" t="s">
        <v>565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443</v>
      </c>
    </row>
    <row r="14" spans="1:28" x14ac:dyDescent="0.25">
      <c r="A14" t="s">
        <v>566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443</v>
      </c>
    </row>
    <row r="15" spans="1:28" x14ac:dyDescent="0.25">
      <c r="A15" t="s">
        <v>567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workbookViewId="0">
      <pane xSplit="1" topLeftCell="B1" activePane="topRight" state="frozen"/>
      <selection pane="topRight" activeCell="AA11" sqref="AA11"/>
    </sheetView>
  </sheetViews>
  <sheetFormatPr defaultRowHeight="15" x14ac:dyDescent="0.25"/>
  <cols>
    <col min="1" max="1" width="10.42578125" customWidth="1"/>
    <col min="2" max="2" width="9.28515625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5703125" customWidth="1"/>
    <col min="25" max="25" width="13.5703125" customWidth="1"/>
    <col min="26" max="26" width="11.7109375" customWidth="1"/>
    <col min="27" max="27" width="17.855468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25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25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79</v>
      </c>
      <c r="P4">
        <v>25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25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25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25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25">
      <c r="A8" t="s">
        <v>524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524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531</v>
      </c>
    </row>
    <row r="9" spans="1:27" x14ac:dyDescent="0.25">
      <c r="X9" t="e" cm="1">
        <f t="array" aca="1" ref="X9" ca="1">INDEX(Caliber!B35:'Caliber'!C43,MATCH(INDIRECT(ADDRESS(ROW(),COLUMN()-1)),Caliber!B35:'Caliber'!B43,0),2)</f>
        <v>#N/A</v>
      </c>
      <c r="Y9" t="e" cm="1">
        <f t="array" aca="1" ref="Y9" ca="1">INDEX(Caliber!C35:'Caliber'!D43,MATCH(INDIRECT(ADDRESS(ROW(),COLUMN()-2)),Caliber!B35:'Caliber'!B43,0),2)</f>
        <v>#N/A</v>
      </c>
    </row>
    <row r="10" spans="1:27" x14ac:dyDescent="0.25">
      <c r="X10" t="e" cm="1">
        <f t="array" aca="1" ref="X10" ca="1">INDEX(Caliber!B35:'Caliber'!C43,MATCH(INDIRECT(ADDRESS(ROW(),COLUMN()-1)),Caliber!B35:'Caliber'!B43,0),2)</f>
        <v>#N/A</v>
      </c>
      <c r="Y10" t="e" cm="1">
        <f t="array" aca="1" ref="Y10" ca="1">INDEX(Caliber!C35:'Caliber'!D43,MATCH(INDIRECT(ADDRESS(ROW(),COLUMN()-2)),Caliber!B35:'Caliber'!B43,0),2)</f>
        <v>#N/A</v>
      </c>
    </row>
    <row r="11" spans="1:27" x14ac:dyDescent="0.25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25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25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25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25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25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5" x14ac:dyDescent="0.25"/>
  <cols>
    <col min="1" max="1" width="11.28515625" customWidth="1"/>
  </cols>
  <sheetData>
    <row r="1" spans="1:1" x14ac:dyDescent="0.25">
      <c r="A1" t="s">
        <v>427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30" activePane="bottomLeft" state="frozen"/>
      <selection pane="bottomLeft" activeCell="A3" sqref="A3"/>
    </sheetView>
  </sheetViews>
  <sheetFormatPr defaultRowHeight="15" x14ac:dyDescent="0.25"/>
  <cols>
    <col min="1" max="1" width="26.28515625" customWidth="1"/>
    <col min="11" max="11" width="14.140625" customWidth="1"/>
    <col min="12" max="12" width="10.42578125" customWidth="1"/>
    <col min="13" max="13" width="11" customWidth="1"/>
    <col min="14" max="14" width="10.42578125" customWidth="1"/>
    <col min="15" max="15" width="13.28515625" customWidth="1"/>
    <col min="16" max="16" width="11.140625" customWidth="1"/>
  </cols>
  <sheetData>
    <row r="1" spans="1:16" ht="22.5" customHeight="1" thickBot="1" x14ac:dyDescent="0.3">
      <c r="A1" s="91" t="s">
        <v>236</v>
      </c>
      <c r="B1" s="93" t="s">
        <v>237</v>
      </c>
      <c r="C1" s="94"/>
      <c r="D1" s="94"/>
      <c r="E1" s="95"/>
      <c r="F1" s="93" t="s">
        <v>238</v>
      </c>
      <c r="G1" s="94"/>
      <c r="H1" s="94"/>
      <c r="I1" s="94"/>
      <c r="J1" s="95"/>
      <c r="K1" s="91" t="s">
        <v>239</v>
      </c>
      <c r="L1" s="91" t="s">
        <v>240</v>
      </c>
      <c r="M1" s="91" t="s">
        <v>241</v>
      </c>
      <c r="N1" s="91" t="s">
        <v>242</v>
      </c>
      <c r="O1" s="91" t="s">
        <v>243</v>
      </c>
      <c r="P1" s="91" t="s">
        <v>244</v>
      </c>
    </row>
    <row r="2" spans="1:16" ht="15.75" thickBot="1" x14ac:dyDescent="0.3">
      <c r="A2" s="92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92"/>
      <c r="L2" s="92"/>
      <c r="M2" s="92"/>
      <c r="N2" s="92"/>
      <c r="O2" s="92"/>
      <c r="P2" s="92"/>
    </row>
    <row r="3" spans="1:16" ht="26.25" thickBot="1" x14ac:dyDescent="0.3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6.25" thickBot="1" x14ac:dyDescent="0.3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6.25" thickBot="1" x14ac:dyDescent="0.3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6.25" thickBot="1" x14ac:dyDescent="0.3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6.25" thickBot="1" x14ac:dyDescent="0.3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6.25" thickBot="1" x14ac:dyDescent="0.3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6.25" thickBot="1" x14ac:dyDescent="0.3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6.25" thickBot="1" x14ac:dyDescent="0.3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6.25" thickBot="1" x14ac:dyDescent="0.3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6.25" thickBot="1" x14ac:dyDescent="0.3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6.25" thickBot="1" x14ac:dyDescent="0.3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6.25" thickBot="1" x14ac:dyDescent="0.3">
      <c r="A32" s="33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0.3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P18"/>
  <sheetViews>
    <sheetView workbookViewId="0">
      <selection activeCell="K15" sqref="K15"/>
    </sheetView>
  </sheetViews>
  <sheetFormatPr defaultRowHeight="15" x14ac:dyDescent="0.25"/>
  <cols>
    <col min="1" max="1" width="12.42578125" customWidth="1"/>
    <col min="2" max="2" width="12.7109375" customWidth="1"/>
    <col min="13" max="13" width="11.85546875" customWidth="1"/>
    <col min="15" max="15" width="16.28515625" customWidth="1"/>
    <col min="16" max="16" width="11.5703125" customWidth="1"/>
  </cols>
  <sheetData>
    <row r="1" spans="1:16" ht="33.75" customHeight="1" thickBot="1" x14ac:dyDescent="0.3">
      <c r="A1" s="20" t="s">
        <v>334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304</v>
      </c>
      <c r="N1" s="20" t="s">
        <v>305</v>
      </c>
      <c r="O1" s="20" t="s">
        <v>306</v>
      </c>
      <c r="P1" s="20" t="s">
        <v>307</v>
      </c>
    </row>
    <row r="2" spans="1:16" ht="39" thickBot="1" x14ac:dyDescent="0.3">
      <c r="A2" s="32" t="s">
        <v>335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8"/>
      <c r="N2" s="38"/>
      <c r="O2" s="32" t="s">
        <v>587</v>
      </c>
      <c r="P2" s="32" t="s">
        <v>588</v>
      </c>
    </row>
    <row r="3" spans="1:16" ht="26.25" thickBot="1" x14ac:dyDescent="0.3">
      <c r="A3" s="96" t="s">
        <v>336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313</v>
      </c>
      <c r="N3" s="26" t="s">
        <v>314</v>
      </c>
      <c r="O3" s="39"/>
      <c r="P3" s="39"/>
    </row>
    <row r="4" spans="1:16" ht="26.25" thickBot="1" x14ac:dyDescent="0.3">
      <c r="A4" s="97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313</v>
      </c>
      <c r="N4" s="32" t="s">
        <v>314</v>
      </c>
      <c r="O4" s="38"/>
      <c r="P4" s="38"/>
    </row>
    <row r="5" spans="1:16" ht="25.5" customHeight="1" thickBot="1" x14ac:dyDescent="0.3">
      <c r="A5" s="97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 t="s">
        <v>318</v>
      </c>
      <c r="N5" s="26" t="s">
        <v>316</v>
      </c>
      <c r="O5" s="39"/>
      <c r="P5" s="39"/>
    </row>
    <row r="6" spans="1:16" ht="26.25" thickBot="1" x14ac:dyDescent="0.3">
      <c r="A6" s="97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 t="s">
        <v>316</v>
      </c>
      <c r="N6" s="32" t="s">
        <v>318</v>
      </c>
      <c r="O6" s="38"/>
      <c r="P6" s="38"/>
    </row>
    <row r="7" spans="1:16" ht="26.25" thickBot="1" x14ac:dyDescent="0.3">
      <c r="A7" s="97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320</v>
      </c>
      <c r="N7" s="26" t="s">
        <v>255</v>
      </c>
      <c r="O7" s="39"/>
      <c r="P7" s="39"/>
    </row>
    <row r="8" spans="1:16" ht="26.25" thickBot="1" x14ac:dyDescent="0.3">
      <c r="A8" s="97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 t="s">
        <v>322</v>
      </c>
      <c r="N8" s="32" t="s">
        <v>255</v>
      </c>
      <c r="O8" s="38"/>
      <c r="P8" s="38"/>
    </row>
    <row r="9" spans="1:16" ht="26.25" thickBot="1" x14ac:dyDescent="0.3">
      <c r="A9" s="97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 t="s">
        <v>320</v>
      </c>
      <c r="N9" s="26" t="s">
        <v>255</v>
      </c>
      <c r="O9" s="39"/>
      <c r="P9" s="39"/>
    </row>
    <row r="10" spans="1:16" ht="26.25" thickBot="1" x14ac:dyDescent="0.3">
      <c r="A10" s="98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 t="s">
        <v>325</v>
      </c>
      <c r="N10" s="32" t="s">
        <v>326</v>
      </c>
      <c r="O10" s="38"/>
      <c r="P10" s="38"/>
    </row>
    <row r="11" spans="1:16" ht="18.75" customHeight="1" thickBot="1" x14ac:dyDescent="0.3">
      <c r="A11" s="96" t="s">
        <v>337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</row>
    <row r="12" spans="1:16" ht="26.25" thickBot="1" x14ac:dyDescent="0.3">
      <c r="A12" s="97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327</v>
      </c>
      <c r="N12" s="32" t="s">
        <v>328</v>
      </c>
      <c r="O12" s="38"/>
      <c r="P12" s="38"/>
    </row>
    <row r="13" spans="1:16" ht="26.25" thickBot="1" x14ac:dyDescent="0.3">
      <c r="A13" s="97"/>
      <c r="B13" s="26" t="s">
        <v>329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313</v>
      </c>
      <c r="N13" s="26" t="s">
        <v>330</v>
      </c>
      <c r="O13" s="39"/>
      <c r="P13" s="39"/>
    </row>
    <row r="14" spans="1:16" ht="26.25" thickBot="1" x14ac:dyDescent="0.3">
      <c r="A14" s="97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313</v>
      </c>
      <c r="N14" s="32" t="s">
        <v>314</v>
      </c>
      <c r="O14" s="38"/>
      <c r="P14" s="38"/>
    </row>
    <row r="15" spans="1:16" ht="26.25" thickBot="1" x14ac:dyDescent="0.3">
      <c r="A15" s="97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313</v>
      </c>
      <c r="N15" s="26" t="s">
        <v>330</v>
      </c>
      <c r="O15" s="39"/>
      <c r="P15" s="39"/>
    </row>
    <row r="16" spans="1:16" ht="26.25" thickBot="1" x14ac:dyDescent="0.3">
      <c r="A16" s="97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313</v>
      </c>
      <c r="N16" s="32" t="s">
        <v>330</v>
      </c>
      <c r="O16" s="38"/>
      <c r="P16" s="38"/>
    </row>
    <row r="17" spans="1:16" ht="26.25" thickBot="1" x14ac:dyDescent="0.3">
      <c r="A17" s="97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313</v>
      </c>
      <c r="N17" s="26" t="s">
        <v>331</v>
      </c>
      <c r="O17" s="39"/>
      <c r="P17" s="39"/>
    </row>
    <row r="18" spans="1:16" ht="26.25" thickBot="1" x14ac:dyDescent="0.3">
      <c r="A18" s="98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332</v>
      </c>
      <c r="N18" s="32" t="s">
        <v>333</v>
      </c>
      <c r="O18" s="38"/>
      <c r="P18" s="38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tabSelected="1" topLeftCell="B1" workbookViewId="0">
      <pane ySplit="1" topLeftCell="A22" activePane="bottomLeft" state="frozen"/>
      <selection pane="bottomLeft" activeCell="I47" sqref="I47"/>
    </sheetView>
  </sheetViews>
  <sheetFormatPr defaultRowHeight="15" x14ac:dyDescent="0.25"/>
  <cols>
    <col min="2" max="2" width="12.140625" customWidth="1"/>
    <col min="3" max="3" width="12" customWidth="1"/>
    <col min="4" max="4" width="16.5703125" customWidth="1"/>
    <col min="5" max="5" width="43.140625" customWidth="1"/>
    <col min="6" max="6" width="53.7109375" customWidth="1"/>
    <col min="7" max="7" width="46.28515625" customWidth="1"/>
    <col min="8" max="8" width="14.42578125" customWidth="1"/>
    <col min="9" max="9" width="30.140625" customWidth="1"/>
  </cols>
  <sheetData>
    <row r="1" spans="1:9" ht="15.75" thickBot="1" x14ac:dyDescent="0.3">
      <c r="A1" s="44" t="s">
        <v>334</v>
      </c>
      <c r="B1" s="44" t="s">
        <v>338</v>
      </c>
      <c r="C1" s="44" t="s">
        <v>339</v>
      </c>
      <c r="D1" s="44" t="s">
        <v>340</v>
      </c>
      <c r="E1" s="44" t="s">
        <v>341</v>
      </c>
      <c r="F1" s="44" t="s">
        <v>342</v>
      </c>
      <c r="G1" s="44" t="s">
        <v>343</v>
      </c>
      <c r="H1" s="44" t="s">
        <v>237</v>
      </c>
      <c r="I1" s="48"/>
    </row>
    <row r="2" spans="1:9" ht="17.25" customHeight="1" thickBot="1" x14ac:dyDescent="0.3">
      <c r="A2" s="102" t="s">
        <v>387</v>
      </c>
      <c r="B2" s="102" t="s">
        <v>298</v>
      </c>
      <c r="C2" s="102" t="s">
        <v>298</v>
      </c>
      <c r="D2" s="45" t="s">
        <v>344</v>
      </c>
      <c r="E2" s="45" t="s">
        <v>473</v>
      </c>
      <c r="F2" s="45" t="s">
        <v>473</v>
      </c>
      <c r="G2" s="45" t="s">
        <v>345</v>
      </c>
      <c r="H2" s="102" t="s">
        <v>346</v>
      </c>
      <c r="I2" s="62"/>
    </row>
    <row r="3" spans="1:9" ht="16.5" customHeight="1" thickBot="1" x14ac:dyDescent="0.3">
      <c r="A3" s="100"/>
      <c r="B3" s="100"/>
      <c r="C3" s="100"/>
      <c r="D3" s="46" t="s">
        <v>347</v>
      </c>
      <c r="E3" s="46" t="s">
        <v>474</v>
      </c>
      <c r="F3" s="46" t="s">
        <v>474</v>
      </c>
      <c r="G3" s="46" t="s">
        <v>475</v>
      </c>
      <c r="H3" s="100"/>
    </row>
    <row r="4" spans="1:9" ht="16.5" customHeight="1" x14ac:dyDescent="0.25">
      <c r="A4" s="100"/>
      <c r="B4" s="100"/>
      <c r="C4" s="100"/>
      <c r="D4" s="60" t="s">
        <v>348</v>
      </c>
      <c r="E4" s="60" t="s">
        <v>592</v>
      </c>
      <c r="F4" s="60" t="s">
        <v>591</v>
      </c>
      <c r="G4" s="60" t="s">
        <v>593</v>
      </c>
      <c r="H4" s="100"/>
    </row>
    <row r="5" spans="1:9" ht="17.25" customHeight="1" thickBot="1" x14ac:dyDescent="0.3">
      <c r="A5" s="100"/>
      <c r="B5" s="99" t="s">
        <v>299</v>
      </c>
      <c r="C5" s="99" t="s">
        <v>299</v>
      </c>
      <c r="D5" s="61" t="s">
        <v>344</v>
      </c>
      <c r="E5" s="61" t="s">
        <v>580</v>
      </c>
      <c r="F5" s="61" t="s">
        <v>581</v>
      </c>
      <c r="G5" s="61" t="s">
        <v>582</v>
      </c>
      <c r="H5" s="99" t="s">
        <v>346</v>
      </c>
    </row>
    <row r="6" spans="1:9" ht="16.5" customHeight="1" thickBot="1" x14ac:dyDescent="0.3">
      <c r="A6" s="100"/>
      <c r="B6" s="100"/>
      <c r="C6" s="100"/>
      <c r="D6" s="46" t="s">
        <v>347</v>
      </c>
      <c r="E6" s="46" t="s">
        <v>480</v>
      </c>
      <c r="F6" s="46" t="s">
        <v>482</v>
      </c>
      <c r="G6" s="46" t="s">
        <v>577</v>
      </c>
      <c r="H6" s="100"/>
    </row>
    <row r="7" spans="1:9" ht="18.75" customHeight="1" x14ac:dyDescent="0.25">
      <c r="A7" s="100"/>
      <c r="B7" s="103"/>
      <c r="C7" s="103"/>
      <c r="D7" s="59" t="s">
        <v>348</v>
      </c>
      <c r="E7" s="59" t="s">
        <v>479</v>
      </c>
      <c r="F7" s="59" t="s">
        <v>481</v>
      </c>
      <c r="G7" s="59" t="s">
        <v>583</v>
      </c>
      <c r="H7" s="103"/>
    </row>
    <row r="8" spans="1:9" ht="17.25" customHeight="1" thickBot="1" x14ac:dyDescent="0.3">
      <c r="A8" s="100"/>
      <c r="B8" s="99" t="s">
        <v>353</v>
      </c>
      <c r="C8" s="99" t="s">
        <v>315</v>
      </c>
      <c r="D8" s="61" t="s">
        <v>344</v>
      </c>
      <c r="E8" s="61" t="s">
        <v>483</v>
      </c>
      <c r="F8" s="61" t="s">
        <v>484</v>
      </c>
      <c r="G8" s="61" t="s">
        <v>220</v>
      </c>
      <c r="H8" s="99" t="s">
        <v>354</v>
      </c>
    </row>
    <row r="9" spans="1:9" ht="16.5" customHeight="1" thickBot="1" x14ac:dyDescent="0.3">
      <c r="A9" s="100"/>
      <c r="B9" s="100"/>
      <c r="C9" s="100"/>
      <c r="D9" s="46" t="s">
        <v>347</v>
      </c>
      <c r="E9" s="46" t="s">
        <v>350</v>
      </c>
      <c r="F9" s="46" t="s">
        <v>560</v>
      </c>
      <c r="G9" s="46" t="s">
        <v>568</v>
      </c>
      <c r="H9" s="100"/>
    </row>
    <row r="10" spans="1:9" ht="16.5" customHeight="1" x14ac:dyDescent="0.25">
      <c r="A10" s="100"/>
      <c r="B10" s="103"/>
      <c r="C10" s="103"/>
      <c r="D10" s="59" t="s">
        <v>348</v>
      </c>
      <c r="E10" s="59" t="s">
        <v>352</v>
      </c>
      <c r="F10" s="59" t="s">
        <v>569</v>
      </c>
      <c r="G10" s="59" t="s">
        <v>485</v>
      </c>
      <c r="H10" s="103"/>
    </row>
    <row r="11" spans="1:9" ht="17.25" customHeight="1" thickBot="1" x14ac:dyDescent="0.3">
      <c r="A11" s="100"/>
      <c r="B11" s="99" t="s">
        <v>355</v>
      </c>
      <c r="C11" s="99" t="s">
        <v>317</v>
      </c>
      <c r="D11" s="61" t="s">
        <v>344</v>
      </c>
      <c r="E11" s="61" t="s">
        <v>460</v>
      </c>
      <c r="F11" s="61" t="s">
        <v>460</v>
      </c>
      <c r="G11" s="61" t="s">
        <v>557</v>
      </c>
      <c r="H11" s="99" t="s">
        <v>356</v>
      </c>
    </row>
    <row r="12" spans="1:9" ht="17.25" customHeight="1" thickBot="1" x14ac:dyDescent="0.3">
      <c r="A12" s="100"/>
      <c r="B12" s="100"/>
      <c r="C12" s="100"/>
      <c r="D12" s="46" t="s">
        <v>347</v>
      </c>
      <c r="E12" s="46" t="s">
        <v>203</v>
      </c>
      <c r="F12" s="46" t="s">
        <v>477</v>
      </c>
      <c r="G12" s="46" t="s">
        <v>478</v>
      </c>
      <c r="H12" s="100"/>
    </row>
    <row r="13" spans="1:9" ht="17.25" customHeight="1" x14ac:dyDescent="0.25">
      <c r="A13" s="100"/>
      <c r="B13" s="100"/>
      <c r="C13" s="100"/>
      <c r="D13" s="60" t="s">
        <v>348</v>
      </c>
      <c r="E13" s="60" t="s">
        <v>357</v>
      </c>
      <c r="F13" s="60" t="s">
        <v>352</v>
      </c>
      <c r="G13" s="60" t="s">
        <v>349</v>
      </c>
      <c r="H13" s="100"/>
    </row>
    <row r="14" spans="1:9" ht="17.25" customHeight="1" thickBot="1" x14ac:dyDescent="0.3">
      <c r="A14" s="100"/>
      <c r="B14" s="99" t="s">
        <v>358</v>
      </c>
      <c r="C14" s="99" t="s">
        <v>319</v>
      </c>
      <c r="D14" s="61" t="s">
        <v>344</v>
      </c>
      <c r="E14" s="61" t="s">
        <v>466</v>
      </c>
      <c r="F14" s="61" t="s">
        <v>466</v>
      </c>
      <c r="G14" s="61" t="s">
        <v>464</v>
      </c>
      <c r="H14" s="99" t="s">
        <v>346</v>
      </c>
    </row>
    <row r="15" spans="1:9" ht="18.75" customHeight="1" thickBot="1" x14ac:dyDescent="0.3">
      <c r="A15" s="100"/>
      <c r="B15" s="100"/>
      <c r="C15" s="100"/>
      <c r="D15" s="46" t="s">
        <v>347</v>
      </c>
      <c r="E15" s="46" t="s">
        <v>465</v>
      </c>
      <c r="F15" s="46" t="s">
        <v>463</v>
      </c>
      <c r="G15" s="46" t="s">
        <v>575</v>
      </c>
      <c r="H15" s="100"/>
    </row>
    <row r="16" spans="1:9" ht="18" customHeight="1" x14ac:dyDescent="0.25">
      <c r="A16" s="100"/>
      <c r="B16" s="103"/>
      <c r="C16" s="103"/>
      <c r="D16" s="59" t="s">
        <v>348</v>
      </c>
      <c r="E16" s="59" t="s">
        <v>534</v>
      </c>
      <c r="F16" s="59" t="s">
        <v>462</v>
      </c>
      <c r="G16" s="59" t="s">
        <v>576</v>
      </c>
      <c r="H16" s="103"/>
    </row>
    <row r="17" spans="1:8" ht="20.25" customHeight="1" thickBot="1" x14ac:dyDescent="0.3">
      <c r="A17" s="100"/>
      <c r="B17" s="99" t="s">
        <v>359</v>
      </c>
      <c r="C17" s="99" t="s">
        <v>321</v>
      </c>
      <c r="D17" s="61" t="s">
        <v>344</v>
      </c>
      <c r="E17" s="61" t="s">
        <v>11</v>
      </c>
      <c r="F17" s="61" t="s">
        <v>111</v>
      </c>
      <c r="G17" s="61" t="s">
        <v>360</v>
      </c>
      <c r="H17" s="99" t="s">
        <v>354</v>
      </c>
    </row>
    <row r="18" spans="1:8" ht="18" customHeight="1" thickBot="1" x14ac:dyDescent="0.3">
      <c r="A18" s="100"/>
      <c r="B18" s="100"/>
      <c r="C18" s="100"/>
      <c r="D18" s="46" t="s">
        <v>347</v>
      </c>
      <c r="E18" s="46" t="s">
        <v>556</v>
      </c>
      <c r="F18" s="46" t="s">
        <v>351</v>
      </c>
      <c r="G18" s="46" t="s">
        <v>361</v>
      </c>
      <c r="H18" s="100"/>
    </row>
    <row r="19" spans="1:8" ht="17.25" customHeight="1" x14ac:dyDescent="0.25">
      <c r="A19" s="100"/>
      <c r="B19" s="103"/>
      <c r="C19" s="103"/>
      <c r="D19" s="59" t="s">
        <v>348</v>
      </c>
      <c r="E19" s="59" t="s">
        <v>461</v>
      </c>
      <c r="F19" s="59" t="s">
        <v>533</v>
      </c>
      <c r="G19" s="59" t="s">
        <v>535</v>
      </c>
      <c r="H19" s="103"/>
    </row>
    <row r="20" spans="1:8" ht="16.5" customHeight="1" thickBot="1" x14ac:dyDescent="0.3">
      <c r="A20" s="100"/>
      <c r="B20" s="99" t="s">
        <v>362</v>
      </c>
      <c r="C20" s="99" t="s">
        <v>323</v>
      </c>
      <c r="D20" s="61" t="s">
        <v>344</v>
      </c>
      <c r="E20" s="61" t="s">
        <v>363</v>
      </c>
      <c r="F20" s="61" t="s">
        <v>544</v>
      </c>
      <c r="G20" s="61" t="s">
        <v>364</v>
      </c>
      <c r="H20" s="99" t="s">
        <v>354</v>
      </c>
    </row>
    <row r="21" spans="1:8" ht="16.5" customHeight="1" thickBot="1" x14ac:dyDescent="0.3">
      <c r="A21" s="100"/>
      <c r="B21" s="100"/>
      <c r="C21" s="100"/>
      <c r="D21" s="46" t="s">
        <v>347</v>
      </c>
      <c r="E21" s="46" t="s">
        <v>555</v>
      </c>
      <c r="F21" s="46" t="s">
        <v>543</v>
      </c>
      <c r="G21" s="46" t="s">
        <v>364</v>
      </c>
      <c r="H21" s="100"/>
    </row>
    <row r="22" spans="1:8" ht="15.75" customHeight="1" thickBot="1" x14ac:dyDescent="0.3">
      <c r="A22" s="100"/>
      <c r="B22" s="100"/>
      <c r="C22" s="100"/>
      <c r="D22" s="60" t="s">
        <v>348</v>
      </c>
      <c r="E22" s="60" t="s">
        <v>365</v>
      </c>
      <c r="F22" s="60" t="s">
        <v>366</v>
      </c>
      <c r="G22" s="60" t="s">
        <v>367</v>
      </c>
      <c r="H22" s="101"/>
    </row>
    <row r="23" spans="1:8" ht="16.5" customHeight="1" thickBot="1" x14ac:dyDescent="0.3">
      <c r="A23" s="100"/>
      <c r="B23" s="99" t="s">
        <v>368</v>
      </c>
      <c r="C23" s="99" t="s">
        <v>324</v>
      </c>
      <c r="D23" s="61" t="s">
        <v>344</v>
      </c>
      <c r="E23" s="61" t="s">
        <v>148</v>
      </c>
      <c r="F23" s="61" t="s">
        <v>468</v>
      </c>
      <c r="G23" s="61" t="s">
        <v>472</v>
      </c>
      <c r="H23" s="102" t="s">
        <v>354</v>
      </c>
    </row>
    <row r="24" spans="1:8" ht="15" customHeight="1" thickBot="1" x14ac:dyDescent="0.3">
      <c r="A24" s="100"/>
      <c r="B24" s="100"/>
      <c r="C24" s="100"/>
      <c r="D24" s="46" t="s">
        <v>347</v>
      </c>
      <c r="E24" s="65" t="s">
        <v>551</v>
      </c>
      <c r="F24" s="46" t="s">
        <v>469</v>
      </c>
      <c r="G24" s="46" t="s">
        <v>471</v>
      </c>
      <c r="H24" s="100"/>
    </row>
    <row r="25" spans="1:8" ht="15.75" customHeight="1" thickBot="1" x14ac:dyDescent="0.3">
      <c r="A25" s="101"/>
      <c r="B25" s="101"/>
      <c r="C25" s="101"/>
      <c r="D25" s="47" t="s">
        <v>348</v>
      </c>
      <c r="E25" s="47" t="s">
        <v>550</v>
      </c>
      <c r="F25" s="47" t="s">
        <v>467</v>
      </c>
      <c r="G25" s="47" t="s">
        <v>470</v>
      </c>
      <c r="H25" s="101"/>
    </row>
    <row r="26" spans="1:8" ht="16.5" customHeight="1" thickBot="1" x14ac:dyDescent="0.3">
      <c r="A26" s="102" t="s">
        <v>337</v>
      </c>
      <c r="B26" s="102" t="s">
        <v>298</v>
      </c>
      <c r="C26" s="102" t="s">
        <v>298</v>
      </c>
      <c r="D26" s="45" t="s">
        <v>344</v>
      </c>
      <c r="E26" s="104"/>
      <c r="F26" s="105"/>
      <c r="G26" s="106"/>
      <c r="H26" s="107"/>
    </row>
    <row r="27" spans="1:8" ht="16.5" customHeight="1" thickBot="1" x14ac:dyDescent="0.3">
      <c r="A27" s="100"/>
      <c r="B27" s="100"/>
      <c r="C27" s="100"/>
      <c r="D27" s="46" t="s">
        <v>347</v>
      </c>
      <c r="E27" s="104"/>
      <c r="F27" s="105"/>
      <c r="G27" s="106"/>
      <c r="H27" s="108"/>
    </row>
    <row r="28" spans="1:8" ht="15.75" customHeight="1" x14ac:dyDescent="0.25">
      <c r="A28" s="100"/>
      <c r="B28" s="100"/>
      <c r="C28" s="100"/>
      <c r="D28" s="60" t="s">
        <v>348</v>
      </c>
      <c r="E28" s="109"/>
      <c r="F28" s="110"/>
      <c r="G28" s="111"/>
      <c r="H28" s="108"/>
    </row>
    <row r="29" spans="1:8" ht="16.5" customHeight="1" thickBot="1" x14ac:dyDescent="0.3">
      <c r="A29" s="100"/>
      <c r="B29" s="99" t="s">
        <v>299</v>
      </c>
      <c r="C29" s="99" t="s">
        <v>299</v>
      </c>
      <c r="D29" s="61" t="s">
        <v>344</v>
      </c>
      <c r="E29" s="75" t="s">
        <v>520</v>
      </c>
      <c r="F29" s="64" t="s">
        <v>521</v>
      </c>
      <c r="G29" s="76" t="s">
        <v>454</v>
      </c>
      <c r="H29" s="99" t="s">
        <v>346</v>
      </c>
    </row>
    <row r="30" spans="1:8" ht="16.5" customHeight="1" thickBot="1" x14ac:dyDescent="0.3">
      <c r="A30" s="100"/>
      <c r="B30" s="100"/>
      <c r="C30" s="100"/>
      <c r="D30" s="46" t="s">
        <v>347</v>
      </c>
      <c r="E30" s="79" t="s">
        <v>519</v>
      </c>
      <c r="F30" s="71" t="s">
        <v>522</v>
      </c>
      <c r="G30" s="77" t="s">
        <v>209</v>
      </c>
      <c r="H30" s="100"/>
    </row>
    <row r="31" spans="1:8" ht="17.25" customHeight="1" x14ac:dyDescent="0.25">
      <c r="A31" s="100"/>
      <c r="B31" s="103"/>
      <c r="C31" s="103"/>
      <c r="D31" s="59" t="s">
        <v>348</v>
      </c>
      <c r="E31" s="78" t="s">
        <v>586</v>
      </c>
      <c r="F31" s="74" t="s">
        <v>585</v>
      </c>
      <c r="G31" s="78" t="s">
        <v>584</v>
      </c>
      <c r="H31" s="103"/>
    </row>
    <row r="32" spans="1:8" ht="18" customHeight="1" thickBot="1" x14ac:dyDescent="0.3">
      <c r="A32" s="100"/>
      <c r="B32" s="100" t="s">
        <v>353</v>
      </c>
      <c r="C32" s="100" t="s">
        <v>329</v>
      </c>
      <c r="D32" s="58" t="s">
        <v>344</v>
      </c>
      <c r="E32" s="73" t="s">
        <v>514</v>
      </c>
      <c r="F32" s="80" t="s">
        <v>515</v>
      </c>
      <c r="G32" s="73" t="s">
        <v>516</v>
      </c>
      <c r="H32" s="100" t="s">
        <v>346</v>
      </c>
    </row>
    <row r="33" spans="1:8" ht="18" customHeight="1" thickBot="1" x14ac:dyDescent="0.3">
      <c r="A33" s="100"/>
      <c r="B33" s="100"/>
      <c r="C33" s="100"/>
      <c r="D33" s="46" t="s">
        <v>347</v>
      </c>
      <c r="E33" s="79" t="s">
        <v>513</v>
      </c>
      <c r="F33" s="71" t="s">
        <v>517</v>
      </c>
      <c r="G33" s="79" t="s">
        <v>517</v>
      </c>
      <c r="H33" s="100"/>
    </row>
    <row r="34" spans="1:8" ht="17.25" customHeight="1" x14ac:dyDescent="0.25">
      <c r="A34" s="100"/>
      <c r="B34" s="100"/>
      <c r="C34" s="100"/>
      <c r="D34" s="60" t="s">
        <v>348</v>
      </c>
      <c r="E34" s="67" t="s">
        <v>511</v>
      </c>
      <c r="F34" s="81" t="s">
        <v>512</v>
      </c>
      <c r="G34" s="67" t="s">
        <v>518</v>
      </c>
      <c r="H34" s="100"/>
    </row>
    <row r="35" spans="1:8" ht="17.25" customHeight="1" thickBot="1" x14ac:dyDescent="0.3">
      <c r="A35" s="100"/>
      <c r="B35" s="99" t="s">
        <v>355</v>
      </c>
      <c r="C35" s="99" t="s">
        <v>317</v>
      </c>
      <c r="D35" s="61" t="s">
        <v>344</v>
      </c>
      <c r="E35" s="75" t="s">
        <v>500</v>
      </c>
      <c r="F35" s="75" t="s">
        <v>498</v>
      </c>
      <c r="G35" s="75" t="s">
        <v>498</v>
      </c>
      <c r="H35" s="99" t="s">
        <v>346</v>
      </c>
    </row>
    <row r="36" spans="1:8" ht="16.5" customHeight="1" thickBot="1" x14ac:dyDescent="0.3">
      <c r="A36" s="100"/>
      <c r="B36" s="100"/>
      <c r="C36" s="100"/>
      <c r="D36" s="46" t="s">
        <v>347</v>
      </c>
      <c r="E36" s="79" t="s">
        <v>501</v>
      </c>
      <c r="F36" s="79" t="s">
        <v>497</v>
      </c>
      <c r="G36" s="79" t="s">
        <v>497</v>
      </c>
      <c r="H36" s="100"/>
    </row>
    <row r="37" spans="1:8" ht="18" customHeight="1" x14ac:dyDescent="0.25">
      <c r="A37" s="100"/>
      <c r="B37" s="100"/>
      <c r="C37" s="100"/>
      <c r="D37" s="60" t="s">
        <v>348</v>
      </c>
      <c r="E37" s="90" t="s">
        <v>476</v>
      </c>
      <c r="F37" s="90" t="s">
        <v>499</v>
      </c>
      <c r="G37" s="90" t="s">
        <v>499</v>
      </c>
      <c r="H37" s="100"/>
    </row>
    <row r="38" spans="1:8" ht="18.75" customHeight="1" thickBot="1" x14ac:dyDescent="0.3">
      <c r="A38" s="100"/>
      <c r="B38" s="99" t="s">
        <v>358</v>
      </c>
      <c r="C38" s="99" t="s">
        <v>287</v>
      </c>
      <c r="D38" s="61" t="s">
        <v>344</v>
      </c>
      <c r="E38" s="63" t="s">
        <v>493</v>
      </c>
      <c r="F38" s="85" t="s">
        <v>492</v>
      </c>
      <c r="G38" s="63" t="s">
        <v>558</v>
      </c>
      <c r="H38" s="99" t="s">
        <v>369</v>
      </c>
    </row>
    <row r="39" spans="1:8" ht="17.25" customHeight="1" thickBot="1" x14ac:dyDescent="0.3">
      <c r="A39" s="100"/>
      <c r="B39" s="100"/>
      <c r="C39" s="100"/>
      <c r="D39" s="46" t="s">
        <v>347</v>
      </c>
      <c r="E39" s="79" t="s">
        <v>494</v>
      </c>
      <c r="F39" s="71" t="s">
        <v>495</v>
      </c>
      <c r="G39" s="79" t="s">
        <v>495</v>
      </c>
      <c r="H39" s="100"/>
    </row>
    <row r="40" spans="1:8" ht="18" customHeight="1" x14ac:dyDescent="0.25">
      <c r="A40" s="100"/>
      <c r="B40" s="100"/>
      <c r="C40" s="100"/>
      <c r="D40" s="60" t="s">
        <v>348</v>
      </c>
      <c r="E40" s="67" t="s">
        <v>536</v>
      </c>
      <c r="F40" s="81" t="s">
        <v>496</v>
      </c>
      <c r="G40" s="67" t="s">
        <v>496</v>
      </c>
      <c r="H40" s="100"/>
    </row>
    <row r="41" spans="1:8" ht="18" customHeight="1" thickBot="1" x14ac:dyDescent="0.3">
      <c r="A41" s="100"/>
      <c r="B41" s="99" t="s">
        <v>359</v>
      </c>
      <c r="C41" s="99" t="s">
        <v>321</v>
      </c>
      <c r="D41" s="61" t="s">
        <v>344</v>
      </c>
      <c r="E41" s="86" t="s">
        <v>486</v>
      </c>
      <c r="F41" s="80" t="s">
        <v>490</v>
      </c>
      <c r="G41" s="86" t="s">
        <v>554</v>
      </c>
      <c r="H41" s="99" t="s">
        <v>346</v>
      </c>
    </row>
    <row r="42" spans="1:8" ht="16.5" customHeight="1" thickBot="1" x14ac:dyDescent="0.3">
      <c r="A42" s="100"/>
      <c r="B42" s="100"/>
      <c r="C42" s="100"/>
      <c r="D42" s="46" t="s">
        <v>347</v>
      </c>
      <c r="E42" s="87" t="s">
        <v>487</v>
      </c>
      <c r="F42" s="88" t="s">
        <v>491</v>
      </c>
      <c r="G42" s="87" t="s">
        <v>553</v>
      </c>
      <c r="H42" s="100"/>
    </row>
    <row r="43" spans="1:8" ht="16.5" customHeight="1" x14ac:dyDescent="0.25">
      <c r="A43" s="100"/>
      <c r="B43" s="100"/>
      <c r="C43" s="100"/>
      <c r="D43" s="60" t="s">
        <v>348</v>
      </c>
      <c r="E43" s="67" t="s">
        <v>488</v>
      </c>
      <c r="F43" s="89" t="s">
        <v>489</v>
      </c>
      <c r="G43" s="67" t="s">
        <v>552</v>
      </c>
      <c r="H43" s="100"/>
    </row>
    <row r="44" spans="1:8" ht="18" customHeight="1" thickBot="1" x14ac:dyDescent="0.3">
      <c r="A44" s="100"/>
      <c r="B44" s="99" t="s">
        <v>362</v>
      </c>
      <c r="C44" s="99" t="s">
        <v>315</v>
      </c>
      <c r="D44" s="61" t="s">
        <v>344</v>
      </c>
      <c r="E44" s="68" t="s">
        <v>509</v>
      </c>
      <c r="F44" s="82" t="s">
        <v>510</v>
      </c>
      <c r="G44" s="68" t="s">
        <v>510</v>
      </c>
      <c r="H44" s="99" t="s">
        <v>594</v>
      </c>
    </row>
    <row r="45" spans="1:8" ht="18" customHeight="1" thickBot="1" x14ac:dyDescent="0.3">
      <c r="A45" s="100"/>
      <c r="B45" s="100"/>
      <c r="C45" s="100"/>
      <c r="D45" s="66" t="s">
        <v>347</v>
      </c>
      <c r="E45" s="69" t="s">
        <v>561</v>
      </c>
      <c r="F45" s="69" t="s">
        <v>572</v>
      </c>
      <c r="G45" s="69" t="s">
        <v>573</v>
      </c>
      <c r="H45" s="100"/>
    </row>
    <row r="46" spans="1:8" ht="16.5" customHeight="1" x14ac:dyDescent="0.25">
      <c r="A46" s="100"/>
      <c r="B46" s="100"/>
      <c r="C46" s="100"/>
      <c r="D46" s="60" t="s">
        <v>348</v>
      </c>
      <c r="E46" s="67" t="s">
        <v>570</v>
      </c>
      <c r="F46" s="81" t="s">
        <v>571</v>
      </c>
      <c r="G46" s="67" t="s">
        <v>574</v>
      </c>
      <c r="H46" s="100"/>
    </row>
    <row r="47" spans="1:8" ht="18" customHeight="1" thickBot="1" x14ac:dyDescent="0.3">
      <c r="A47" s="100"/>
      <c r="B47" s="99" t="s">
        <v>368</v>
      </c>
      <c r="C47" s="99" t="s">
        <v>324</v>
      </c>
      <c r="D47" s="61" t="s">
        <v>344</v>
      </c>
      <c r="E47" s="63" t="s">
        <v>158</v>
      </c>
      <c r="F47" s="80" t="s">
        <v>507</v>
      </c>
      <c r="G47" s="63" t="s">
        <v>472</v>
      </c>
      <c r="H47" s="99" t="s">
        <v>346</v>
      </c>
    </row>
    <row r="48" spans="1:8" ht="17.25" customHeight="1" thickBot="1" x14ac:dyDescent="0.3">
      <c r="A48" s="100"/>
      <c r="B48" s="100"/>
      <c r="C48" s="100"/>
      <c r="D48" s="46" t="s">
        <v>347</v>
      </c>
      <c r="E48" s="70" t="s">
        <v>504</v>
      </c>
      <c r="F48" s="83" t="s">
        <v>508</v>
      </c>
      <c r="G48" s="70" t="s">
        <v>502</v>
      </c>
      <c r="H48" s="100"/>
    </row>
    <row r="49" spans="1:8" ht="16.5" customHeight="1" thickBot="1" x14ac:dyDescent="0.3">
      <c r="A49" s="101"/>
      <c r="B49" s="101"/>
      <c r="C49" s="101"/>
      <c r="D49" s="47" t="s">
        <v>348</v>
      </c>
      <c r="E49" s="84" t="s">
        <v>505</v>
      </c>
      <c r="F49" s="72" t="s">
        <v>506</v>
      </c>
      <c r="G49" s="84" t="s">
        <v>503</v>
      </c>
      <c r="H49" s="101"/>
    </row>
  </sheetData>
  <mergeCells count="53"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B41:B43"/>
    <mergeCell ref="C41:C43"/>
    <mergeCell ref="H41:H43"/>
    <mergeCell ref="B38:B40"/>
    <mergeCell ref="C38:C40"/>
    <mergeCell ref="H38:H40"/>
    <mergeCell ref="B47:B49"/>
    <mergeCell ref="C47:C49"/>
    <mergeCell ref="H47:H49"/>
    <mergeCell ref="B44:B46"/>
    <mergeCell ref="C44:C46"/>
    <mergeCell ref="H44:H4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9"/>
  <sheetViews>
    <sheetView workbookViewId="0">
      <selection activeCell="I21" sqref="I21"/>
    </sheetView>
  </sheetViews>
  <sheetFormatPr defaultRowHeight="15" x14ac:dyDescent="0.25"/>
  <cols>
    <col min="1" max="1" width="18.85546875" customWidth="1"/>
    <col min="2" max="2" width="8.42578125" customWidth="1"/>
    <col min="5" max="5" width="13" customWidth="1"/>
    <col min="7" max="7" width="12.42578125" customWidth="1"/>
    <col min="9" max="9" width="13.85546875" customWidth="1"/>
    <col min="11" max="11" width="15.140625" customWidth="1"/>
    <col min="12" max="12" width="10.85546875" customWidth="1"/>
    <col min="14" max="14" width="13.5703125" customWidth="1"/>
    <col min="15" max="15" width="16" customWidth="1"/>
  </cols>
  <sheetData>
    <row r="1" spans="1:16" ht="26.25" thickBot="1" x14ac:dyDescent="0.3">
      <c r="A1" s="20" t="s">
        <v>236</v>
      </c>
      <c r="B1" s="20" t="s">
        <v>370</v>
      </c>
      <c r="C1" s="20" t="s">
        <v>371</v>
      </c>
      <c r="D1" s="20" t="s">
        <v>372</v>
      </c>
      <c r="E1" s="20" t="s">
        <v>373</v>
      </c>
      <c r="F1" s="20" t="s">
        <v>374</v>
      </c>
      <c r="G1" s="20" t="s">
        <v>375</v>
      </c>
      <c r="H1" s="20" t="s">
        <v>376</v>
      </c>
      <c r="I1" s="20" t="s">
        <v>377</v>
      </c>
      <c r="J1" s="20" t="s">
        <v>378</v>
      </c>
      <c r="K1" s="20" t="s">
        <v>379</v>
      </c>
      <c r="L1" s="20" t="s">
        <v>380</v>
      </c>
      <c r="M1" s="20" t="s">
        <v>381</v>
      </c>
      <c r="N1" s="20" t="s">
        <v>382</v>
      </c>
      <c r="O1" s="20" t="s">
        <v>383</v>
      </c>
      <c r="P1" s="20" t="s">
        <v>384</v>
      </c>
    </row>
    <row r="2" spans="1:16" ht="26.25" thickBot="1" x14ac:dyDescent="0.3">
      <c r="A2" s="32" t="s">
        <v>385</v>
      </c>
      <c r="B2" s="32" t="s">
        <v>386</v>
      </c>
      <c r="C2" s="32">
        <v>3</v>
      </c>
      <c r="D2" s="32" t="s">
        <v>387</v>
      </c>
      <c r="E2" s="32">
        <v>0</v>
      </c>
      <c r="F2" s="32">
        <v>0</v>
      </c>
      <c r="G2" s="49">
        <v>0</v>
      </c>
      <c r="H2" s="49" t="s">
        <v>410</v>
      </c>
      <c r="I2" s="49" t="s">
        <v>410</v>
      </c>
      <c r="J2" s="49" t="s">
        <v>410</v>
      </c>
      <c r="K2" s="49">
        <v>0</v>
      </c>
      <c r="L2" s="49">
        <v>0</v>
      </c>
      <c r="M2" s="32" t="s">
        <v>388</v>
      </c>
      <c r="N2" s="32" t="s">
        <v>389</v>
      </c>
      <c r="O2" s="32">
        <v>300</v>
      </c>
      <c r="P2" s="32" t="s">
        <v>390</v>
      </c>
    </row>
    <row r="3" spans="1:16" ht="26.25" thickBot="1" x14ac:dyDescent="0.3">
      <c r="A3" s="26" t="s">
        <v>391</v>
      </c>
      <c r="B3" s="39"/>
      <c r="C3" s="26">
        <v>12</v>
      </c>
      <c r="D3" s="26" t="s">
        <v>387</v>
      </c>
      <c r="E3" s="26">
        <v>0</v>
      </c>
      <c r="F3" s="26">
        <v>0</v>
      </c>
      <c r="G3" s="50">
        <v>0</v>
      </c>
      <c r="H3" s="50" t="s">
        <v>410</v>
      </c>
      <c r="I3" s="50" t="s">
        <v>410</v>
      </c>
      <c r="J3" s="50" t="s">
        <v>410</v>
      </c>
      <c r="K3" s="50">
        <v>0</v>
      </c>
      <c r="L3" s="50">
        <v>0</v>
      </c>
      <c r="M3" s="26" t="s">
        <v>392</v>
      </c>
      <c r="N3" s="26" t="s">
        <v>389</v>
      </c>
      <c r="O3" s="26">
        <v>400</v>
      </c>
      <c r="P3" s="26" t="s">
        <v>390</v>
      </c>
    </row>
    <row r="4" spans="1:16" ht="26.25" thickBot="1" x14ac:dyDescent="0.3">
      <c r="A4" s="32" t="s">
        <v>393</v>
      </c>
      <c r="B4" s="32" t="s">
        <v>386</v>
      </c>
      <c r="C4" s="32">
        <v>0</v>
      </c>
      <c r="D4" s="32" t="s">
        <v>387</v>
      </c>
      <c r="E4" s="32">
        <v>0</v>
      </c>
      <c r="F4" s="32">
        <v>1</v>
      </c>
      <c r="G4" s="49">
        <v>1</v>
      </c>
      <c r="H4" s="49" t="s">
        <v>411</v>
      </c>
      <c r="I4" s="49" t="s">
        <v>411</v>
      </c>
      <c r="J4" s="49" t="s">
        <v>419</v>
      </c>
      <c r="K4" s="49">
        <v>0</v>
      </c>
      <c r="L4" s="49">
        <v>0</v>
      </c>
      <c r="M4" s="32" t="s">
        <v>392</v>
      </c>
      <c r="N4" s="32" t="s">
        <v>394</v>
      </c>
      <c r="O4" s="32" t="s">
        <v>395</v>
      </c>
      <c r="P4" s="32" t="s">
        <v>390</v>
      </c>
    </row>
    <row r="5" spans="1:16" ht="26.25" thickBot="1" x14ac:dyDescent="0.3">
      <c r="A5" s="26" t="s">
        <v>396</v>
      </c>
      <c r="B5" s="26" t="s">
        <v>397</v>
      </c>
      <c r="C5" s="26">
        <v>20</v>
      </c>
      <c r="D5" s="26" t="s">
        <v>387</v>
      </c>
      <c r="E5" s="26">
        <v>0</v>
      </c>
      <c r="F5" s="26">
        <v>1</v>
      </c>
      <c r="G5" s="50" t="s">
        <v>415</v>
      </c>
      <c r="H5" s="50" t="s">
        <v>412</v>
      </c>
      <c r="I5" s="50" t="s">
        <v>412</v>
      </c>
      <c r="J5" s="50" t="s">
        <v>420</v>
      </c>
      <c r="K5" s="50" t="s">
        <v>423</v>
      </c>
      <c r="L5" s="50" t="s">
        <v>424</v>
      </c>
      <c r="M5" s="26" t="s">
        <v>398</v>
      </c>
      <c r="N5" s="26" t="s">
        <v>389</v>
      </c>
      <c r="O5" s="26" t="s">
        <v>399</v>
      </c>
      <c r="P5" s="26" t="s">
        <v>390</v>
      </c>
    </row>
    <row r="6" spans="1:16" ht="26.25" thickBot="1" x14ac:dyDescent="0.3">
      <c r="A6" s="32" t="s">
        <v>400</v>
      </c>
      <c r="B6" s="32" t="s">
        <v>386</v>
      </c>
      <c r="C6" s="32">
        <v>10</v>
      </c>
      <c r="D6" s="32" t="s">
        <v>387</v>
      </c>
      <c r="E6" s="32">
        <v>0</v>
      </c>
      <c r="F6" s="32">
        <v>0</v>
      </c>
      <c r="G6" s="49">
        <v>0</v>
      </c>
      <c r="H6" s="49" t="s">
        <v>411</v>
      </c>
      <c r="I6" s="49" t="s">
        <v>417</v>
      </c>
      <c r="J6" s="49" t="s">
        <v>411</v>
      </c>
      <c r="K6" s="49">
        <v>0</v>
      </c>
      <c r="L6" s="49">
        <v>0</v>
      </c>
      <c r="M6" s="32" t="s">
        <v>392</v>
      </c>
      <c r="N6" s="32" t="s">
        <v>389</v>
      </c>
      <c r="O6" s="32">
        <v>500</v>
      </c>
      <c r="P6" s="32" t="s">
        <v>390</v>
      </c>
    </row>
    <row r="7" spans="1:16" ht="31.5" customHeight="1" thickBot="1" x14ac:dyDescent="0.3">
      <c r="A7" s="26" t="s">
        <v>401</v>
      </c>
      <c r="B7" s="26" t="s">
        <v>402</v>
      </c>
      <c r="C7" s="26">
        <v>0</v>
      </c>
      <c r="D7" s="26" t="s">
        <v>387</v>
      </c>
      <c r="E7" s="26">
        <v>1</v>
      </c>
      <c r="F7" s="26">
        <v>2</v>
      </c>
      <c r="G7" s="50" t="s">
        <v>416</v>
      </c>
      <c r="H7" s="50" t="s">
        <v>413</v>
      </c>
      <c r="I7" s="50" t="s">
        <v>418</v>
      </c>
      <c r="J7" s="50" t="s">
        <v>421</v>
      </c>
      <c r="K7" s="50" t="s">
        <v>423</v>
      </c>
      <c r="L7" s="50" t="s">
        <v>416</v>
      </c>
      <c r="M7" s="26" t="s">
        <v>398</v>
      </c>
      <c r="N7" s="26" t="s">
        <v>406</v>
      </c>
      <c r="O7" s="26" t="s">
        <v>403</v>
      </c>
      <c r="P7" s="26" t="s">
        <v>390</v>
      </c>
    </row>
    <row r="8" spans="1:16" ht="26.25" thickBot="1" x14ac:dyDescent="0.3">
      <c r="A8" s="32" t="s">
        <v>404</v>
      </c>
      <c r="B8" s="32" t="s">
        <v>386</v>
      </c>
      <c r="C8" s="32">
        <v>4</v>
      </c>
      <c r="D8" s="32" t="s">
        <v>405</v>
      </c>
      <c r="E8" s="32">
        <v>0</v>
      </c>
      <c r="F8" s="32">
        <v>1</v>
      </c>
      <c r="G8" s="49">
        <v>0</v>
      </c>
      <c r="H8" s="49" t="s">
        <v>411</v>
      </c>
      <c r="I8" s="49" t="s">
        <v>417</v>
      </c>
      <c r="J8" s="49" t="s">
        <v>412</v>
      </c>
      <c r="K8" s="49">
        <v>0</v>
      </c>
      <c r="L8" s="49">
        <v>0</v>
      </c>
      <c r="M8" s="32" t="s">
        <v>392</v>
      </c>
      <c r="N8" s="32" t="s">
        <v>406</v>
      </c>
      <c r="O8" s="32" t="s">
        <v>403</v>
      </c>
      <c r="P8" s="32" t="s">
        <v>390</v>
      </c>
    </row>
    <row r="9" spans="1:16" ht="26.25" thickBot="1" x14ac:dyDescent="0.3">
      <c r="A9" s="26" t="s">
        <v>407</v>
      </c>
      <c r="B9" s="39"/>
      <c r="C9" s="26">
        <v>24</v>
      </c>
      <c r="D9" s="26" t="s">
        <v>405</v>
      </c>
      <c r="E9" s="26">
        <v>0</v>
      </c>
      <c r="F9" s="50" t="s">
        <v>410</v>
      </c>
      <c r="G9" s="50" t="s">
        <v>411</v>
      </c>
      <c r="H9" s="50" t="s">
        <v>414</v>
      </c>
      <c r="I9" s="50" t="s">
        <v>419</v>
      </c>
      <c r="J9" s="50" t="s">
        <v>422</v>
      </c>
      <c r="K9" s="50" t="s">
        <v>415</v>
      </c>
      <c r="L9" s="50" t="s">
        <v>424</v>
      </c>
      <c r="M9" s="26" t="s">
        <v>408</v>
      </c>
      <c r="N9" s="26">
        <v>999</v>
      </c>
      <c r="O9" s="26" t="s">
        <v>409</v>
      </c>
      <c r="P9" s="26" t="s">
        <v>390</v>
      </c>
    </row>
  </sheetData>
  <pageMargins left="0.7" right="0.7" top="0.75" bottom="0.75" header="0.3" footer="0.3"/>
  <ignoredErrors>
    <ignoredError sqref="J7" twoDigitTextYear="1"/>
  </ignoredErrors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5"/>
  <sheetViews>
    <sheetView workbookViewId="0">
      <selection activeCell="A19" sqref="A19"/>
    </sheetView>
  </sheetViews>
  <sheetFormatPr defaultRowHeight="15" x14ac:dyDescent="0.25"/>
  <cols>
    <col min="1" max="1" width="40.85546875" customWidth="1"/>
    <col min="2" max="2" width="12.28515625" customWidth="1"/>
  </cols>
  <sheetData>
    <row r="1" spans="1:5" ht="15" customHeight="1" x14ac:dyDescent="0.25">
      <c r="A1" s="112" t="s">
        <v>439</v>
      </c>
      <c r="B1" s="112"/>
      <c r="C1" s="51"/>
      <c r="D1" s="51"/>
      <c r="E1" s="51"/>
    </row>
    <row r="2" spans="1:5" x14ac:dyDescent="0.25">
      <c r="A2" s="112"/>
      <c r="B2" s="112"/>
      <c r="C2" s="51"/>
      <c r="D2" s="51"/>
      <c r="E2" s="51"/>
    </row>
    <row r="3" spans="1:5" x14ac:dyDescent="0.25">
      <c r="A3" s="112"/>
      <c r="B3" s="112"/>
      <c r="C3" s="51"/>
      <c r="D3" s="51"/>
      <c r="E3" s="51"/>
    </row>
    <row r="4" spans="1:5" x14ac:dyDescent="0.25">
      <c r="A4" s="1"/>
      <c r="B4" s="52"/>
    </row>
    <row r="5" spans="1:5" x14ac:dyDescent="0.25">
      <c r="B5" s="14"/>
    </row>
    <row r="6" spans="1:5" x14ac:dyDescent="0.25">
      <c r="B6" s="14"/>
    </row>
    <row r="7" spans="1:5" x14ac:dyDescent="0.25">
      <c r="B7" s="14"/>
    </row>
    <row r="8" spans="1:5" x14ac:dyDescent="0.25">
      <c r="A8" t="s">
        <v>456</v>
      </c>
      <c r="B8" s="14"/>
    </row>
    <row r="9" spans="1:5" x14ac:dyDescent="0.25">
      <c r="B9" s="14"/>
    </row>
    <row r="10" spans="1:5" x14ac:dyDescent="0.25">
      <c r="B10" s="14"/>
    </row>
    <row r="11" spans="1:5" x14ac:dyDescent="0.25">
      <c r="B11" s="14"/>
    </row>
    <row r="12" spans="1:5" x14ac:dyDescent="0.25">
      <c r="B12" s="14"/>
    </row>
    <row r="13" spans="1:5" x14ac:dyDescent="0.25">
      <c r="B13" s="14"/>
    </row>
    <row r="14" spans="1:5" x14ac:dyDescent="0.25">
      <c r="A14" t="s">
        <v>525</v>
      </c>
      <c r="B14" s="14"/>
    </row>
    <row r="15" spans="1:5" x14ac:dyDescent="0.25">
      <c r="A15" t="s">
        <v>562</v>
      </c>
      <c r="B15" s="14"/>
    </row>
    <row r="16" spans="1:5" x14ac:dyDescent="0.25">
      <c r="A16" t="s">
        <v>527</v>
      </c>
      <c r="B16" s="14"/>
    </row>
    <row r="17" spans="1:2" x14ac:dyDescent="0.25">
      <c r="B17" s="14"/>
    </row>
    <row r="18" spans="1:2" x14ac:dyDescent="0.25">
      <c r="A18" t="s">
        <v>528</v>
      </c>
      <c r="B18" s="14"/>
    </row>
    <row r="19" spans="1:2" x14ac:dyDescent="0.25">
      <c r="A19" t="s">
        <v>529</v>
      </c>
      <c r="B19" s="14"/>
    </row>
    <row r="20" spans="1:2" x14ac:dyDescent="0.25">
      <c r="A20" t="s">
        <v>545</v>
      </c>
      <c r="B20" s="14"/>
    </row>
    <row r="21" spans="1:2" x14ac:dyDescent="0.25">
      <c r="B21" s="14"/>
    </row>
    <row r="22" spans="1:2" x14ac:dyDescent="0.25">
      <c r="B22" s="14"/>
    </row>
    <row r="23" spans="1:2" x14ac:dyDescent="0.25">
      <c r="B23" s="14"/>
    </row>
    <row r="24" spans="1:2" x14ac:dyDescent="0.25">
      <c r="B24" s="14"/>
    </row>
    <row r="25" spans="1:2" x14ac:dyDescent="0.25">
      <c r="B25" s="14"/>
    </row>
    <row r="26" spans="1:2" x14ac:dyDescent="0.25">
      <c r="B26" s="14"/>
    </row>
    <row r="27" spans="1:2" x14ac:dyDescent="0.25">
      <c r="B27" s="14"/>
    </row>
    <row r="28" spans="1:2" x14ac:dyDescent="0.25">
      <c r="B28" s="14"/>
    </row>
    <row r="29" spans="1:2" x14ac:dyDescent="0.25">
      <c r="B29" s="14"/>
    </row>
    <row r="30" spans="1:2" x14ac:dyDescent="0.25">
      <c r="B30" s="14"/>
    </row>
    <row r="31" spans="1:2" x14ac:dyDescent="0.25">
      <c r="B31" s="14"/>
    </row>
    <row r="32" spans="1:2" x14ac:dyDescent="0.25">
      <c r="B32" s="14"/>
    </row>
    <row r="33" spans="2:2" x14ac:dyDescent="0.25">
      <c r="B33" s="14"/>
    </row>
    <row r="34" spans="2:2" x14ac:dyDescent="0.25">
      <c r="B34" s="14"/>
    </row>
    <row r="35" spans="2:2" x14ac:dyDescent="0.25">
      <c r="B35" s="14"/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2024-11-03T01:12:25Z</dcterms:modified>
</cp:coreProperties>
</file>