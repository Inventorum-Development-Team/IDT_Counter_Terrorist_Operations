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FE43891E-5E1A-47FF-AFA1-5664EE2A7E26}" xr6:coauthVersionLast="47" xr6:coauthVersionMax="47" xr10:uidLastSave="{00000000-0000-0000-0000-000000000000}"/>
  <bookViews>
    <workbookView xWindow="-108" yWindow="-108" windowWidth="23256" windowHeight="12576" firstSheet="5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X4" i="8" a="1"/>
  <c r="Z7" i="7" a="1"/>
  <c r="X3" i="8" a="1"/>
  <c r="Y8" i="4" a="1"/>
  <c r="Y9" i="4" a="1"/>
  <c r="Y9" i="7" a="1"/>
  <c r="Z4" i="7" a="1"/>
  <c r="X15" i="4" a="1"/>
  <c r="Y2" i="7" a="1"/>
  <c r="X28" i="4" a="1"/>
  <c r="Y33" i="4" a="1"/>
  <c r="Y56" i="4" a="1"/>
  <c r="Z11" i="6" a="1"/>
  <c r="Y11" i="7" a="1"/>
  <c r="X12" i="8" a="1"/>
  <c r="Y8" i="8" a="1"/>
  <c r="X3" i="2" a="1"/>
  <c r="Y15" i="8" a="1"/>
  <c r="X16" i="8" a="1"/>
  <c r="Y29" i="4" a="1"/>
  <c r="Y27" i="4" a="1"/>
  <c r="X2" i="8" a="1"/>
  <c r="Z13" i="7" a="1"/>
  <c r="Y15" i="4" a="1"/>
  <c r="Y3" i="7" a="1"/>
  <c r="Z12" i="7" a="1"/>
  <c r="Y14" i="7" a="1"/>
  <c r="X8" i="8" a="1"/>
  <c r="X9" i="4" a="1"/>
  <c r="Y6" i="8" a="1"/>
  <c r="Y7" i="4" a="1"/>
  <c r="X9" i="8" a="1"/>
  <c r="Z2" i="7" a="1"/>
  <c r="Y5" i="7" a="1"/>
  <c r="Y10" i="8" a="1"/>
  <c r="Y13" i="8" a="1"/>
  <c r="Z10" i="7" a="1"/>
  <c r="Y11" i="6" a="1"/>
  <c r="W3" i="2" a="1"/>
  <c r="Y28" i="4" a="1"/>
  <c r="Y2" i="8" a="1"/>
  <c r="W6" i="3" a="1"/>
  <c r="Y6" i="7" a="1"/>
  <c r="Y2" i="4" a="1"/>
  <c r="X19" i="4" a="1"/>
  <c r="Y8" i="7" a="1"/>
  <c r="Z15" i="7" a="1"/>
  <c r="Y3" i="8" a="1"/>
  <c r="X29" i="4" a="1"/>
  <c r="X12" i="6" a="1"/>
  <c r="Y32" i="4" a="1"/>
  <c r="Y9" i="8" a="1"/>
  <c r="X42" i="4" a="1"/>
  <c r="Y5" i="8" a="1"/>
  <c r="Y14" i="8" a="1"/>
  <c r="X33" i="4" a="1"/>
  <c r="X10" i="4" a="1"/>
  <c r="Z12" i="6" a="1"/>
  <c r="W9" i="3" a="1"/>
  <c r="Y22" i="4" a="1"/>
  <c r="X30" i="4" a="1"/>
  <c r="Y13" i="7" a="1"/>
  <c r="Z5" i="7" a="1"/>
  <c r="Y4" i="8" a="1"/>
  <c r="Z8" i="7" a="1"/>
  <c r="X10" i="8" a="1"/>
  <c r="X27" i="4" a="1"/>
  <c r="X14" i="8" a="1"/>
  <c r="Y12" i="6" a="1"/>
  <c r="Y19" i="4" a="1"/>
  <c r="Z6" i="7" a="1"/>
  <c r="X5" i="8" a="1"/>
  <c r="X2" i="4" a="1"/>
  <c r="Y30" i="4" a="1"/>
  <c r="Y4" i="7" a="1"/>
  <c r="X58" i="4" a="1"/>
  <c r="X11" i="8" a="1"/>
  <c r="Y11" i="8" a="1"/>
  <c r="Y10" i="7" a="1"/>
  <c r="Y12" i="8" a="1"/>
  <c r="Y57" i="4" a="1"/>
  <c r="Z3" i="7" a="1"/>
  <c r="Y42" i="4" a="1"/>
  <c r="Z11" i="7" a="1"/>
  <c r="X7" i="4" a="1"/>
  <c r="Y7" i="8" a="1"/>
  <c r="Y7" i="7" a="1"/>
  <c r="Y15" i="7" a="1"/>
  <c r="X32" i="4" a="1"/>
  <c r="X6" i="8" a="1"/>
  <c r="Y10" i="4" a="1"/>
  <c r="X8" i="4" a="1"/>
  <c r="Z14" i="7" a="1"/>
  <c r="X15" i="8" a="1"/>
  <c r="X13" i="8" a="1"/>
  <c r="Y12" i="7" a="1"/>
  <c r="X11" i="6" a="1"/>
  <c r="X7" i="8" a="1"/>
  <c r="X6" i="3" a="1"/>
  <c r="Z9" i="7" a="1"/>
  <c r="X57" i="4" a="1"/>
  <c r="Y58" i="4" a="1"/>
  <c r="Y16" i="8" a="1"/>
  <c r="X22" i="4" a="1"/>
  <c r="X9" i="3" a="1"/>
  <c r="Y10" i="8" l="1"/>
  <c r="X10" i="8"/>
  <c r="Y58" i="4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C2" authorId="0" shapeId="0" xr:uid="{2168FE27-DE7E-4BD6-9499-BE77D72A6F74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5" authorId="0" shapeId="0" xr:uid="{FD5CD874-9AE4-4963-B92A-73A9F43DE1AF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8" authorId="0" shapeId="0" xr:uid="{E1B8502E-6016-4566-B954-E0201DA37A86}">
      <text>
        <r>
          <rPr>
            <b/>
            <sz val="9"/>
            <color indexed="81"/>
            <rFont val="Tahoma"/>
            <charset val="1"/>
          </rPr>
          <t>Uncommon loadout has field dressing</t>
        </r>
      </text>
    </comment>
    <comment ref="C29" authorId="0" shapeId="0" xr:uid="{FFE54F25-31AF-4EEB-B1F6-9A04358CB3E5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35" authorId="0" shapeId="0" xr:uid="{2BA314D6-BEB9-491A-A0DF-5AAD6155DE0C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41" authorId="0" shapeId="0" xr:uid="{541AD3F4-DB22-4AFB-9C7F-37A1C1B3E6C8}">
      <text>
        <r>
          <rPr>
            <b/>
            <sz val="9"/>
            <color indexed="81"/>
            <rFont val="Tahoma"/>
            <charset val="1"/>
          </rPr>
          <t>Uncommon Loadout has Field dressing, as well as rare on Tier 3</t>
        </r>
      </text>
    </comment>
    <comment ref="C44" authorId="0" shapeId="0" xr:uid="{3CC2BAB8-688A-4A20-893D-AA5571B13E0E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47" authorId="0" shapeId="0" xr:uid="{9A31EE81-87EF-43B0-B291-B2546A021C2F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0" authorId="0" shapeId="0" xr:uid="{E820AAD7-F525-4706-9273-E0B103A5A999}">
      <text>
        <r>
          <rPr>
            <b/>
            <sz val="9"/>
            <color indexed="81"/>
            <rFont val="Tahoma"/>
            <charset val="1"/>
          </rPr>
          <t>starts at month 9</t>
        </r>
      </text>
    </comment>
    <comment ref="O11" authorId="0" shapeId="0" xr:uid="{11B7419D-009C-4DED-A6E1-49F3ECF60D2E}">
      <text>
        <r>
          <rPr>
            <b/>
            <sz val="9"/>
            <color indexed="81"/>
            <rFont val="Tahoma"/>
            <charset val="1"/>
          </rPr>
          <t>100 Abort penalty
600 Obj failed penalty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<sst xmlns="http://schemas.openxmlformats.org/spreadsheetml/2006/main" count="1919" uniqueCount="639">
  <si>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</si>
  <si>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</si>
  <si>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</si>
  <si>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</si>
  <si>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</si>
  <si>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</si>
  <si>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</si>
  <si>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</si>
  <si>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</si>
  <si>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</si>
  <si>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</si>
  <si>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</si>
  <si>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</si>
  <si>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</si>
  <si>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</si>
  <si>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</si>
  <si>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</si>
  <si>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</si>
  <si>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</si>
  <si>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</si>
  <si>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</si>
  <si>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</si>
  <si>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</si>
  <si>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</si>
  <si>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</si>
  <si>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</si>
  <si>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</si>
  <si>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</si>
  <si>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</si>
  <si>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</si>
  <si>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</si>
  <si>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</si>
  <si>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</si>
  <si>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</si>
  <si>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</si>
  <si>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</si>
  <si>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</si>
  <si>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</si>
  <si>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</si>
  <si>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</si>
  <si>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</si>
  <si>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</si>
  <si>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</si>
  <si>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</si>
  <si>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</si>
  <si>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</si>
  <si>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</si>
  <si>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</si>
  <si>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</si>
  <si>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</si>
  <si>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</si>
  <si>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</si>
  <si>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</si>
  <si>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</si>
  <si>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</si>
  <si>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</si>
  <si>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</si>
  <si>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</si>
  <si>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</si>
  <si>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</si>
  <si>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</si>
  <si>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</si>
  <si>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</si>
  <si>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</si>
  <si>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</si>
  <si>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</si>
  <si>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</si>
  <si>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</si>
  <si>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</si>
  <si>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</si>
  <si>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</si>
  <si>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</si>
  <si>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</si>
  <si>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</si>
  <si>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</si>
  <si>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</si>
  <si>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</si>
  <si>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</si>
  <si>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</si>
  <si>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</si>
  <si>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</si>
  <si>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</si>
  <si>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</si>
  <si>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</si>
  <si>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</si>
  <si>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</si>
  <si>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</si>
  <si>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</si>
  <si>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</si>
  <si>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</si>
  <si>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</si>
  <si>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</si>
  <si>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</si>
  <si>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</si>
  <si>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</si>
  <si>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</si>
  <si>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</si>
  <si>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</si>
  <si>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</si>
  <si>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</si>
  <si>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</si>
  <si>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</si>
  <si>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</si>
  <si>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</si>
  <si>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</si>
  <si>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</si>
  <si>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</si>
  <si>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</si>
  <si>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</si>
  <si>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</si>
  <si>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</si>
  <si>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</si>
  <si>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</si>
  <si>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</si>
  <si>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</si>
  <si>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</si>
  <si>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</si>
  <si>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</si>
  <si>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</si>
  <si>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</si>
  <si>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</si>
  <si>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</si>
  <si>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</si>
  <si>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</si>
  <si>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</si>
  <si>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</si>
  <si>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</si>
  <si>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</si>
  <si>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</si>
  <si>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</si>
  <si>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</si>
  <si>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</si>
  <si>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</si>
  <si>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</si>
  <si>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</si>
  <si>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</si>
  <si>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</si>
  <si>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</si>
  <si>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</si>
  <si>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</si>
  <si>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</si>
  <si>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</si>
  <si>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</si>
  <si>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</si>
  <si>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</si>
  <si>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</si>
  <si>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</si>
  <si>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</si>
  <si>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</si>
  <si>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</si>
  <si>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</si>
  <si>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</si>
  <si>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</si>
  <si>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</si>
  <si>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</si>
  <si>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</si>
  <si>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</si>
  <si>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</si>
  <si>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</si>
  <si>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</si>
  <si>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</si>
  <si>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</si>
  <si>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</si>
  <si>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</si>
  <si>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</si>
  <si>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</si>
  <si>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</si>
  <si>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</si>
  <si>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</si>
  <si>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</si>
  <si>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</si>
  <si>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</si>
  <si>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</si>
  <si>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</si>
  <si>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</si>
  <si>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</si>
  <si>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</si>
  <si>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</si>
  <si>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</si>
  <si>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</si>
  <si>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</si>
  <si>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</si>
  <si>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</si>
  <si>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</si>
  <si>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</si>
  <si>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</si>
  <si>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</si>
  <si>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</si>
  <si>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</si>
  <si>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</si>
  <si>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</si>
  <si>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</si>
  <si>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</si>
  <si>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</si>
  <si>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</si>
  <si>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</si>
  <si>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</si>
  <si>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</si>
  <si>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</si>
  <si>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</si>
  <si>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</si>
  <si>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</si>
  <si>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</si>
  <si>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</si>
  <si>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</si>
  <si>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</si>
  <si>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</si>
  <si>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</si>
  <si>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</si>
  <si>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</si>
  <si>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</si>
  <si>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</si>
  <si>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</si>
  <si>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</si>
  <si>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</si>
  <si>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</si>
  <si>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</si>
  <si>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</si>
  <si>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</si>
  <si>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</si>
  <si>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</si>
  <si>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</si>
  <si>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</si>
  <si>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</si>
  <si>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</si>
  <si>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</si>
  <si>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</si>
  <si>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</si>
  <si>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</si>
  <si>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</si>
  <si>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</si>
  <si>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</si>
  <si>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</si>
  <si>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</si>
  <si>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</si>
  <si>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</si>
  <si>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</si>
  <si>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</si>
  <si>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</si>
  <si>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</si>
  <si>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</si>
  <si>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</si>
  <si>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</si>
  <si>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</si>
  <si>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</si>
  <si>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</si>
  <si>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</si>
  <si>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</si>
  <si>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</si>
  <si>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</si>
  <si>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</si>
  <si>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</si>
  <si>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</si>
  <si>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</si>
  <si>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</si>
  <si>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</si>
  <si>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</si>
  <si>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</si>
  <si>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</si>
  <si>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</si>
  <si>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</si>
  <si>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</si>
  <si>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</si>
  <si>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</si>
  <si>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</si>
  <si>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</si>
  <si>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</si>
  <si>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</si>
  <si>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</si>
  <si>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</si>
  <si>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</si>
  <si>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</si>
  <si>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</si>
  <si>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</si>
  <si>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</si>
  <si>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</si>
  <si>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</si>
  <si>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</si>
  <si>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</si>
  <si>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</si>
  <si>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</si>
  <si>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</si>
  <si>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</si>
  <si>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</si>
  <si>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</si>
  <si>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</si>
  <si>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</si>
  <si>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</si>
  <si>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</si>
  <si>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</si>
  <si>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</si>
  <si>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</si>
  <si>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</si>
  <si>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</si>
  <si>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</si>
  <si>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</si>
  <si>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</si>
  <si>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</si>
  <si>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</si>
  <si>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</si>
  <si>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</si>
  <si>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</si>
  <si>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</si>
  <si>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</si>
  <si>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</si>
  <si>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</si>
  <si>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</si>
  <si>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</si>
  <si>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</si>
  <si>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</si>
  <si>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</si>
  <si>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</si>
  <si>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</si>
  <si>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</si>
  <si>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</si>
  <si>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</si>
  <si>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</si>
  <si>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</si>
  <si>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</si>
  <si>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</si>
  <si>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</si>
  <si>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</si>
  <si>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</si>
  <si>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</si>
  <si>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</si>
  <si>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</si>
  <si>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</si>
  <si>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</si>
  <si>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</si>
  <si>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</si>
  <si>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</si>
  <si>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</si>
  <si>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</si>
  <si>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</si>
  <si>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</si>
  <si>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</si>
  <si>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</si>
  <si>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</si>
  <si>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</si>
  <si>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</si>
  <si>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</si>
  <si>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</si>
  <si>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</si>
  <si>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</si>
  <si>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</si>
  <si>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</si>
  <si>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</si>
  <si>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</si>
  <si>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</si>
  <si>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</si>
  <si>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</si>
  <si>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</si>
  <si>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</si>
  <si>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</si>
  <si>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</si>
  <si>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</si>
  <si>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</si>
  <si>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</si>
  <si>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</si>
  <si>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</si>
  <si>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</si>
  <si>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</si>
  <si>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</si>
  <si>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</si>
  <si>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</si>
  <si>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</si>
  <si>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</si>
  <si>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</si>
  <si>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</si>
  <si>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</si>
  <si>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</si>
  <si>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</si>
  <si>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</si>
  <si>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</si>
  <si>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</si>
  <si>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</si>
  <si>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</si>
  <si>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</si>
  <si>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</si>
  <si>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</si>
  <si>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</si>
  <si>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</si>
  <si>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</si>
  <si>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</si>
  <si>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</si>
  <si>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</si>
  <si>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</si>
  <si>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</si>
  <si>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</si>
  <si>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</si>
  <si>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</si>
  <si>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</si>
  <si>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</si>
  <si>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</si>
  <si>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</si>
  <si>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</si>
  <si>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</si>
  <si>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</si>
  <si>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</si>
  <si>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</si>
  <si>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Sky Scraper Raid</t>
  </si>
  <si>
    <t>Large</t>
  </si>
  <si>
    <t>0
500</t>
  </si>
  <si>
    <t>3-4</t>
  </si>
  <si>
    <t>2-3</t>
  </si>
  <si>
    <t>2-4</t>
  </si>
  <si>
    <t>3-5</t>
  </si>
  <si>
    <t>4-6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</si>
  <si>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</si>
  <si>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</si>
  <si>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</si>
  <si>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</si>
  <si>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</si>
  <si>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</si>
  <si>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</si>
  <si>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</si>
  <si>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</si>
  <si>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</si>
  <si>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</si>
  <si>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</si>
  <si>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</si>
  <si>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</si>
  <si>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</si>
  <si>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</si>
  <si>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</si>
  <si>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</si>
  <si>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</si>
  <si>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</si>
  <si>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</si>
  <si>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</si>
  <si>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</si>
  <si>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</si>
  <si>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</si>
  <si>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</si>
  <si>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</si>
  <si>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</si>
  <si>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</si>
  <si>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</si>
  <si>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</si>
  <si>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</si>
  <si>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</si>
  <si>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</si>
  <si>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</si>
  <si>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</si>
  <si>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</si>
  <si>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</si>
  <si>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</si>
  <si>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</si>
  <si>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</si>
  <si>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</si>
  <si>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</si>
  <si>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</si>
  <si>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</si>
  <si>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</si>
  <si>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</si>
  <si>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</si>
  <si>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</si>
  <si>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</si>
  <si>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</si>
  <si>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</si>
  <si>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</si>
  <si>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</si>
  <si>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</si>
  <si>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</si>
  <si>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</si>
  <si>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</si>
  <si>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</si>
  <si>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</si>
  <si>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</si>
  <si>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</si>
  <si>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</si>
  <si>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</si>
  <si>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</si>
  <si>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</si>
  <si>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</si>
  <si>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</si>
  <si>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</si>
  <si>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</si>
  <si>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</si>
  <si>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</si>
  <si>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</si>
  <si>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</si>
  <si>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</si>
  <si>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</si>
  <si>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</si>
  <si>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</si>
  <si>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</si>
  <si>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</si>
  <si>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</si>
  <si>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</si>
  <si>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</si>
  <si>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</si>
  <si>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</si>
  <si>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</si>
  <si>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</si>
  <si>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</si>
  <si>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</si>
  <si>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</si>
  <si>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</si>
  <si>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</si>
  <si>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</si>
  <si>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</si>
  <si>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</si>
  <si>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</si>
  <si>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</si>
  <si>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</si>
  <si>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</si>
  <si>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</si>
  <si>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</si>
  <si>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</si>
  <si>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</si>
  <si>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</si>
  <si>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</si>
  <si>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</si>
  <si>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</si>
  <si>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</si>
  <si>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</si>
  <si>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</si>
  <si>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</si>
  <si>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</si>
  <si>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</si>
  <si>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</si>
  <si>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</si>
  <si>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</si>
  <si>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</si>
  <si>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</si>
  <si>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</si>
  <si>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</si>
  <si>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</si>
  <si>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</si>
  <si>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</si>
  <si>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</si>
  <si>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</si>
  <si>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</si>
  <si>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</si>
  <si>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</si>
  <si>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</si>
  <si>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</si>
  <si>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</si>
  <si>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</si>
  <si>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</si>
  <si>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</si>
  <si>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</si>
  <si>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</si>
  <si>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</si>
  <si>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</si>
  <si>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</si>
  <si>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</si>
  <si>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</si>
  <si>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</si>
  <si>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</si>
  <si>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</si>
  <si>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</si>
  <si>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</si>
  <si>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</si>
  <si>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</si>
  <si>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</si>
  <si>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</si>
  <si>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</si>
  <si>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</si>
  <si>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</si>
  <si>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</si>
  <si>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</si>
  <si>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</si>
  <si>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</si>
  <si>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</si>
  <si>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</si>
  <si>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</si>
  <si>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</si>
  <si>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</si>
  <si>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</si>
  <si>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</si>
  <si>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</si>
  <si>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</si>
  <si>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</si>
  <si>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</si>
  <si>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</si>
  <si>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</si>
  <si>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</si>
  <si>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</si>
  <si>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</si>
  <si>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</si>
  <si>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</si>
  <si>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</si>
  <si>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</si>
  <si>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</si>
  <si>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</si>
  <si>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</si>
  <si>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</si>
  <si>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</si>
  <si>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</si>
  <si>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</si>
  <si>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</si>
  <si>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</si>
  <si>
    <t>[1,6]</t>
  </si>
  <si>
    <t>Smoke</t>
  </si>
  <si>
    <t>RG-6/RPG-7/RPG-7 + (2 Rockets)</t>
  </si>
  <si>
    <t>K11 DAW</t>
  </si>
  <si>
    <t>OICW</t>
  </si>
  <si>
    <t>3-7</t>
  </si>
  <si>
    <t>70          20</t>
  </si>
  <si>
    <t>50
30</t>
  </si>
  <si>
    <t>5-10</t>
  </si>
  <si>
    <t>6-12</t>
  </si>
  <si>
    <t>4-7</t>
  </si>
  <si>
    <t>600
1200</t>
  </si>
  <si>
    <t>1-4</t>
  </si>
  <si>
    <t>8-14</t>
  </si>
  <si>
    <t>4-8</t>
  </si>
  <si>
    <t>30         30</t>
  </si>
  <si>
    <t>inf</t>
  </si>
  <si>
    <t>Major Attack (Late)</t>
  </si>
  <si>
    <t>24                  48</t>
  </si>
  <si>
    <t>Bomb Defusal</t>
  </si>
  <si>
    <t>700
100+600</t>
  </si>
  <si>
    <t>Kevlar</t>
  </si>
  <si>
    <t>Kevlar NVG</t>
  </si>
  <si>
    <t>Kevlar Riot</t>
  </si>
  <si>
    <t>1
20</t>
  </si>
  <si>
    <t>1
10</t>
  </si>
  <si>
    <t>1
0</t>
  </si>
  <si>
    <t>2
100</t>
  </si>
  <si>
    <t>Technical Gunner</t>
  </si>
  <si>
    <t>Technical</t>
  </si>
  <si>
    <t>2
2</t>
  </si>
  <si>
    <t>Finish EOD</t>
  </si>
  <si>
    <t>Finish technical</t>
  </si>
  <si>
    <t>Testing</t>
  </si>
  <si>
    <t>For 1.2 Release:</t>
  </si>
  <si>
    <t>Test Double belt size w/ Q-D weapons only</t>
  </si>
  <si>
    <t>HK417/?/G11</t>
  </si>
  <si>
    <t>Ending slides</t>
  </si>
  <si>
    <t>HK G41</t>
  </si>
  <si>
    <t>FNX-40 / FNX-45 Tactical</t>
  </si>
  <si>
    <t>Colt Python</t>
  </si>
  <si>
    <t>S&amp;W R8</t>
  </si>
  <si>
    <t>HK SL8</t>
  </si>
  <si>
    <t>reorganise LMGS w/ private contracts</t>
  </si>
  <si>
    <t>Ak 12 w/ gp-34/25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</si>
</sst>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14" borderId="8" xfId="0" applyFont="1" applyFill="1" applyBorder="1" applyAlignment="1">
      <alignment horizontal="center" vertical="center" wrapText="1"/>
    </xf>
    <xf numFmtId="16" fontId="2" fillId="15" borderId="7" xfId="0" quotePrefix="1" applyNumberFormat="1" applyFont="1" applyFill="1" applyBorder="1" applyAlignment="1">
      <alignment horizontal="center" vertical="center" wrapText="1"/>
    </xf>
    <xf numFmtId="49" fontId="2" fillId="15" borderId="7" xfId="0" quotePrefix="1" applyNumberFormat="1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6" borderId="8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7" borderId="8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2" fillId="18" borderId="8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0" fontId="0" fillId="0" borderId="20" xfId="0" applyBorder="1"/>
    <xf numFmtId="0" fontId="2" fillId="0" borderId="7" xfId="0" applyFont="1" applyBorder="1" applyAlignment="1">
      <alignment horizontal="center" vertical="center" wrapText="1"/>
    </xf>
    <xf numFmtId="0" fontId="0" fillId="26" borderId="3" xfId="0" applyFill="1" applyBorder="1"/>
    <xf numFmtId="0" fontId="0" fillId="26" borderId="0" xfId="0" applyFill="1"/>
    <xf numFmtId="0" fontId="0" fillId="25" borderId="0" xfId="0" applyFill="1"/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6" workbookViewId="0">
      <selection activeCell="B45" sqref="B45"/>
    </sheetView>
  </sheetViews>
  <sheetFormatPr defaultRowHeight="14.4" x14ac:dyDescent="0.3"/>
  <cols>
    <col min="1" max="1" width="14.109375" customWidth="1"/>
    <col min="2" max="2" width="22" customWidth="1"/>
    <col min="4" max="4" width="13.88671875" customWidth="1"/>
    <col min="5" max="5" width="14.88671875" customWidth="1"/>
    <col min="6" max="6" width="14.6640625" customWidth="1"/>
    <col min="7" max="7" width="14.88671875" customWidth="1"/>
    <col min="8" max="8" width="14.6640625" customWidth="1"/>
    <col min="9" max="9" width="131.88671875" customWidth="1"/>
    <col min="12" max="12" width="20.33203125" customWidth="1"/>
  </cols>
  <sheetData>
    <row r="1" spans="1:17" x14ac:dyDescent="0.3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3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3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3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3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3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3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3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3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3">
      <c r="A10" s="3"/>
      <c r="B10" t="s">
        <v>411</v>
      </c>
      <c r="C10">
        <v>40</v>
      </c>
      <c r="D10">
        <v>0</v>
      </c>
      <c r="E10">
        <v>6</v>
      </c>
      <c r="F10">
        <v>1</v>
      </c>
      <c r="I10" t="s">
        <v>413</v>
      </c>
    </row>
    <row r="11" spans="1:17" x14ac:dyDescent="0.3">
      <c r="A11" s="56"/>
      <c r="B11" t="s">
        <v>427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3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3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3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3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3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3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3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3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3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3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3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3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3">
      <c r="A24" s="5"/>
      <c r="B24" t="s">
        <v>523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3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3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3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3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3">
      <c r="A29" s="7"/>
      <c r="B29" t="s">
        <v>432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433</v>
      </c>
    </row>
    <row r="30" spans="1:19" x14ac:dyDescent="0.3">
      <c r="A30" s="7"/>
      <c r="B30" t="s">
        <v>435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436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3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3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3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3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3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3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3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3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3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3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3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3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3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3">
      <c r="A44" s="9"/>
      <c r="B44" t="s">
        <v>503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509</v>
      </c>
    </row>
    <row r="45" spans="1:19" x14ac:dyDescent="0.3">
      <c r="A45" s="9"/>
      <c r="B45" t="s">
        <v>519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518</v>
      </c>
    </row>
    <row r="46" spans="1:19" x14ac:dyDescent="0.3">
      <c r="A46" s="9"/>
      <c r="B46" t="s">
        <v>520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3">
      <c r="A47" s="9"/>
    </row>
    <row r="48" spans="1:19" x14ac:dyDescent="0.3">
      <c r="A48" s="53" t="s">
        <v>434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3">
      <c r="A49" s="54"/>
      <c r="B49" s="14" t="s">
        <v>425</v>
      </c>
      <c r="C49">
        <v>40</v>
      </c>
      <c r="D49">
        <v>0</v>
      </c>
      <c r="E49">
        <v>6</v>
      </c>
      <c r="F49">
        <v>7</v>
      </c>
      <c r="I49" t="s">
        <v>426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4.4" x14ac:dyDescent="0.3"/>
  <cols>
    <col min="1" max="1" width="14.8867187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44140625" customWidth="1"/>
    <col min="23" max="23" width="8.88671875" customWidth="1"/>
    <col min="24" max="24" width="13.5546875" customWidth="1"/>
    <col min="25" max="25" width="11.5546875" customWidth="1"/>
    <col min="26" max="26" width="37" customWidth="1"/>
  </cols>
  <sheetData>
    <row r="1" spans="1:26" x14ac:dyDescent="0.3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3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3">
      <c r="A3" t="s">
        <v>410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411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414</v>
      </c>
    </row>
    <row r="4" spans="1:26" x14ac:dyDescent="0.3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3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3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3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3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3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3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3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3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3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3">
      <c r="A15" t="s">
        <v>444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3">
      <c r="A16" t="s">
        <v>502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4.4" x14ac:dyDescent="0.3"/>
  <cols>
    <col min="1" max="1" width="14.44140625" customWidth="1"/>
    <col min="2" max="2" width="9.33203125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5546875" customWidth="1"/>
    <col min="24" max="24" width="13.5546875" customWidth="1"/>
    <col min="25" max="25" width="12" customWidth="1"/>
    <col min="26" max="26" width="26.5546875" customWidth="1"/>
  </cols>
  <sheetData>
    <row r="1" spans="1:26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3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3">
      <c r="A3" t="s">
        <v>421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3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3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3">
      <c r="A6" t="s">
        <v>440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3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3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3">
      <c r="A9" t="s">
        <v>430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427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428</v>
      </c>
    </row>
    <row r="10" spans="1:26" x14ac:dyDescent="0.3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3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3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3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3">
      <c r="A15" t="s">
        <v>416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417</v>
      </c>
    </row>
    <row r="16" spans="1:26" x14ac:dyDescent="0.3">
      <c r="A16" t="s">
        <v>511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3">
      <c r="A17" t="s">
        <v>556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4.4" x14ac:dyDescent="0.3"/>
  <cols>
    <col min="1" max="1" width="20.6640625" customWidth="1"/>
    <col min="2" max="2" width="9.33203125" customWidth="1"/>
    <col min="5" max="5" width="18.5546875" customWidth="1"/>
    <col min="6" max="6" width="13.664062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332031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4.44140625" customWidth="1"/>
    <col min="24" max="24" width="11.5546875" customWidth="1"/>
    <col min="25" max="25" width="13.5546875" customWidth="1"/>
    <col min="26" max="26" width="11.6640625" customWidth="1"/>
    <col min="27" max="27" width="29.66406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3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3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3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3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3">
      <c r="A7" t="s">
        <v>517</v>
      </c>
      <c r="B7">
        <v>31</v>
      </c>
      <c r="C7" t="s">
        <v>90</v>
      </c>
      <c r="D7" t="s">
        <v>76</v>
      </c>
      <c r="E7" t="s">
        <v>515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516</v>
      </c>
    </row>
    <row r="8" spans="1:27" x14ac:dyDescent="0.3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3">
      <c r="A9" t="s">
        <v>442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3">
      <c r="A10" t="s">
        <v>443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3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3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3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3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3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3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3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3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3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3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3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3">
      <c r="A22" t="s">
        <v>415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3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3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3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3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3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3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3">
      <c r="A29" t="s">
        <v>422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3">
      <c r="A30" t="s">
        <v>423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3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3">
      <c r="A32" t="s">
        <v>419</v>
      </c>
      <c r="B32">
        <v>30</v>
      </c>
      <c r="C32" t="s">
        <v>90</v>
      </c>
      <c r="D32" t="s">
        <v>76</v>
      </c>
      <c r="E32" t="s">
        <v>420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3">
      <c r="A33" t="s">
        <v>418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3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3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3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3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3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3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3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3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3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3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3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3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3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3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3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3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3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3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3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3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3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3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3">
      <c r="A56" t="s">
        <v>567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3">
      <c r="A57" t="s">
        <v>586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3">
      <c r="A58" t="s">
        <v>587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4.4" x14ac:dyDescent="0.3"/>
  <cols>
    <col min="1" max="1" width="12.109375" customWidth="1"/>
    <col min="2" max="2" width="9.33203125" customWidth="1"/>
    <col min="3" max="3" width="6.88671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9.109375" customWidth="1"/>
    <col min="25" max="25" width="13.5546875" customWidth="1"/>
    <col min="26" max="26" width="11.6640625" customWidth="1"/>
    <col min="27" max="27" width="21.332031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3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3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3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3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3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3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3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3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3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3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3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3">
      <c r="A14" t="s">
        <v>505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523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524</v>
      </c>
    </row>
    <row r="15" spans="1:27" x14ac:dyDescent="0.3">
      <c r="A15" t="s">
        <v>525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523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526</v>
      </c>
    </row>
    <row r="16" spans="1:27" x14ac:dyDescent="0.3">
      <c r="A16" s="57" t="s">
        <v>577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3">
      <c r="A17" t="s">
        <v>582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3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3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3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3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3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3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3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3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3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3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3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3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3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4.4" x14ac:dyDescent="0.3"/>
  <cols>
    <col min="1" max="1" width="14" customWidth="1"/>
    <col min="2" max="2" width="9.33203125" customWidth="1"/>
    <col min="5" max="5" width="13.6640625" customWidth="1"/>
    <col min="6" max="6" width="16.109375" customWidth="1"/>
    <col min="7" max="7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441406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6640625" customWidth="1"/>
    <col min="24" max="24" width="11.5546875" customWidth="1"/>
    <col min="25" max="25" width="11.33203125" customWidth="1"/>
    <col min="26" max="26" width="13.5546875" customWidth="1"/>
    <col min="27" max="27" width="11.6640625" customWidth="1"/>
    <col min="28" max="28" width="25.10937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3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437</v>
      </c>
    </row>
    <row r="4" spans="1:28" x14ac:dyDescent="0.3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438</v>
      </c>
    </row>
    <row r="5" spans="1:28" x14ac:dyDescent="0.3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438</v>
      </c>
    </row>
    <row r="6" spans="1:28" x14ac:dyDescent="0.3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3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3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3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3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3">
      <c r="A11" t="s">
        <v>431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438</v>
      </c>
    </row>
    <row r="12" spans="1:28" x14ac:dyDescent="0.3">
      <c r="A12" t="s">
        <v>566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4.4" x14ac:dyDescent="0.3"/>
  <cols>
    <col min="1" max="1" width="13.3320312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7.33203125" customWidth="1"/>
    <col min="21" max="21" width="12.44140625" customWidth="1"/>
    <col min="22" max="22" width="12.33203125" customWidth="1"/>
    <col min="23" max="23" width="18.5546875" customWidth="1"/>
    <col min="25" max="25" width="13.5546875" customWidth="1"/>
    <col min="26" max="26" width="11.664062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555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3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3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3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3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3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3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3">
      <c r="A9" t="s">
        <v>429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427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428</v>
      </c>
    </row>
    <row r="10" spans="1:28" x14ac:dyDescent="0.3">
      <c r="A10" t="s">
        <v>536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3">
      <c r="A11" t="s">
        <v>540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3">
      <c r="A12" t="s">
        <v>541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428</v>
      </c>
    </row>
    <row r="13" spans="1:28" x14ac:dyDescent="0.3">
      <c r="A13" t="s">
        <v>542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428</v>
      </c>
    </row>
    <row r="14" spans="1:28" x14ac:dyDescent="0.3">
      <c r="A14" t="s">
        <v>543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428</v>
      </c>
    </row>
    <row r="15" spans="1:28" x14ac:dyDescent="0.3">
      <c r="A15" t="s">
        <v>544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topLeftCell="A7" workbookViewId="0">
      <pane xSplit="1" topLeftCell="B1" activePane="topRight" state="frozen"/>
      <selection pane="topRight" activeCell="W20" sqref="W20"/>
    </sheetView>
  </sheetViews>
  <sheetFormatPr defaultRowHeight="14.4" x14ac:dyDescent="0.3"/>
  <cols>
    <col min="1" max="1" width="10.44140625" customWidth="1"/>
    <col min="2" max="2" width="9.33203125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5546875" customWidth="1"/>
    <col min="25" max="25" width="13.5546875" customWidth="1"/>
    <col min="26" max="26" width="11.6640625" customWidth="1"/>
    <col min="27" max="27" width="17.8867187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3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3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3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3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3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3">
      <c r="A8" t="s">
        <v>503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503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510</v>
      </c>
    </row>
    <row r="9" spans="1:27" x14ac:dyDescent="0.3">
      <c r="A9" t="s">
        <v>572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591</v>
      </c>
    </row>
    <row r="10" spans="1:27" x14ac:dyDescent="0.3">
      <c r="A10" t="s">
        <v>583</v>
      </c>
      <c r="B10">
        <v>48</v>
      </c>
      <c r="C10" t="s">
        <v>90</v>
      </c>
      <c r="D10" t="s">
        <v>76</v>
      </c>
      <c r="E10" t="b">
        <v>1</v>
      </c>
      <c r="F10" t="b">
        <v>1</v>
      </c>
      <c r="G10" t="s">
        <v>76</v>
      </c>
      <c r="H10">
        <v>115</v>
      </c>
      <c r="I10">
        <v>60</v>
      </c>
      <c r="J10">
        <v>30</v>
      </c>
      <c r="K10" t="s">
        <v>76</v>
      </c>
      <c r="L10">
        <v>50</v>
      </c>
      <c r="M10">
        <v>35</v>
      </c>
      <c r="N10" t="s">
        <v>76</v>
      </c>
      <c r="O10">
        <v>27</v>
      </c>
      <c r="P10">
        <v>12</v>
      </c>
      <c r="Q10" t="s">
        <v>76</v>
      </c>
      <c r="R10">
        <v>30</v>
      </c>
      <c r="S10">
        <v>0</v>
      </c>
      <c r="T10">
        <v>1</v>
      </c>
      <c r="U10">
        <v>1</v>
      </c>
      <c r="V10" t="s">
        <v>76</v>
      </c>
      <c r="W10" t="s">
        <v>519</v>
      </c>
      <c r="X10" cm="1">
        <f t="array" aca="1" ref="X10" ca="1">INDEX(Caliber!B35:'Caliber'!C47,MATCH(INDIRECT(ADDRESS(ROW(),COLUMN()-1)),Caliber!B35:'Caliber'!B47,0),2)</f>
        <v>40</v>
      </c>
      <c r="Y10" cm="1">
        <f t="array" aca="1" ref="Y10" ca="1">INDEX(Caliber!C35:'Caliber'!D47,MATCH(INDIRECT(ADDRESS(ROW(),COLUMN()-2)),Caliber!B35:'Caliber'!B47,0),2)</f>
        <v>0.4</v>
      </c>
      <c r="Z10" t="s">
        <v>594</v>
      </c>
      <c r="AA10" t="s">
        <v>595</v>
      </c>
    </row>
    <row r="11" spans="1:27" x14ac:dyDescent="0.3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3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3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3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3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3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4.4" x14ac:dyDescent="0.3"/>
  <cols>
    <col min="1" max="1" width="11.33203125" customWidth="1"/>
  </cols>
  <sheetData>
    <row r="1" spans="1:1" x14ac:dyDescent="0.3">
      <c r="A1" t="s">
        <v>412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22" activePane="bottomLeft" state="frozen"/>
      <selection pane="bottomLeft" activeCell="O39" sqref="O39"/>
    </sheetView>
  </sheetViews>
  <sheetFormatPr defaultRowHeight="14.4" x14ac:dyDescent="0.3"/>
  <cols>
    <col min="1" max="1" width="26.33203125" customWidth="1"/>
    <col min="11" max="11" width="14.109375" customWidth="1"/>
    <col min="12" max="12" width="10.44140625" customWidth="1"/>
    <col min="13" max="13" width="11" customWidth="1"/>
    <col min="14" max="14" width="10.44140625" customWidth="1"/>
    <col min="15" max="15" width="13.33203125" customWidth="1"/>
    <col min="16" max="16" width="11.109375" customWidth="1"/>
  </cols>
  <sheetData>
    <row r="1" spans="1:16" ht="22.5" customHeight="1" thickBot="1" x14ac:dyDescent="0.35">
      <c r="A1" s="108" t="s">
        <v>236</v>
      </c>
      <c r="B1" s="110" t="s">
        <v>237</v>
      </c>
      <c r="C1" s="111"/>
      <c r="D1" s="111"/>
      <c r="E1" s="112"/>
      <c r="F1" s="110" t="s">
        <v>238</v>
      </c>
      <c r="G1" s="111"/>
      <c r="H1" s="111"/>
      <c r="I1" s="111"/>
      <c r="J1" s="112"/>
      <c r="K1" s="108" t="s">
        <v>239</v>
      </c>
      <c r="L1" s="108" t="s">
        <v>240</v>
      </c>
      <c r="M1" s="108" t="s">
        <v>241</v>
      </c>
      <c r="N1" s="108" t="s">
        <v>242</v>
      </c>
      <c r="O1" s="108" t="s">
        <v>243</v>
      </c>
      <c r="P1" s="108" t="s">
        <v>244</v>
      </c>
    </row>
    <row r="2" spans="1:16" ht="15" thickBot="1" x14ac:dyDescent="0.35">
      <c r="A2" s="109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109"/>
      <c r="L2" s="109"/>
      <c r="M2" s="109"/>
      <c r="N2" s="109"/>
      <c r="O2" s="109"/>
      <c r="P2" s="109"/>
    </row>
    <row r="3" spans="1:16" ht="27" thickBot="1" x14ac:dyDescent="0.35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5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7" thickBot="1" x14ac:dyDescent="0.35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5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7" thickBot="1" x14ac:dyDescent="0.35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5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5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5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5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5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5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5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7" thickBot="1" x14ac:dyDescent="0.35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5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5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5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5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5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7" thickBot="1" x14ac:dyDescent="0.35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5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7" thickBot="1" x14ac:dyDescent="0.35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5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5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5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7" thickBot="1" x14ac:dyDescent="0.35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7" thickBot="1" x14ac:dyDescent="0.35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7" thickBot="1" x14ac:dyDescent="0.35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7" thickBot="1" x14ac:dyDescent="0.35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7" thickBot="1" x14ac:dyDescent="0.35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7" thickBot="1" x14ac:dyDescent="0.35">
      <c r="A32" s="104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0.05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Q19"/>
  <sheetViews>
    <sheetView workbookViewId="0">
      <selection activeCell="Q26" sqref="Q26"/>
    </sheetView>
  </sheetViews>
  <sheetFormatPr defaultRowHeight="14.4" x14ac:dyDescent="0.3"/>
  <cols>
    <col min="1" max="1" width="12.44140625" customWidth="1"/>
    <col min="2" max="2" width="12.6640625" customWidth="1"/>
    <col min="14" max="14" width="11.88671875" customWidth="1"/>
    <col min="16" max="16" width="16.33203125" customWidth="1"/>
    <col min="17" max="17" width="11.5546875" customWidth="1"/>
  </cols>
  <sheetData>
    <row r="1" spans="1:17" ht="33.75" customHeight="1" thickBot="1" x14ac:dyDescent="0.35">
      <c r="A1" s="20" t="s">
        <v>333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237</v>
      </c>
      <c r="N1" s="20" t="s">
        <v>304</v>
      </c>
      <c r="O1" s="20" t="s">
        <v>305</v>
      </c>
      <c r="P1" s="20" t="s">
        <v>306</v>
      </c>
      <c r="Q1" s="20" t="s">
        <v>307</v>
      </c>
    </row>
    <row r="2" spans="1:17" ht="40.200000000000003" thickBot="1" x14ac:dyDescent="0.35">
      <c r="A2" s="32" t="s">
        <v>334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2"/>
      <c r="N2" s="38"/>
      <c r="O2" s="38"/>
      <c r="P2" s="32" t="s">
        <v>564</v>
      </c>
      <c r="Q2" s="32" t="s">
        <v>565</v>
      </c>
    </row>
    <row r="3" spans="1:17" ht="27" thickBot="1" x14ac:dyDescent="0.35">
      <c r="A3" s="113" t="s">
        <v>335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615</v>
      </c>
      <c r="N3" s="26" t="s">
        <v>313</v>
      </c>
      <c r="O3" s="26" t="s">
        <v>314</v>
      </c>
      <c r="P3" s="39"/>
      <c r="Q3" s="39"/>
    </row>
    <row r="4" spans="1:17" ht="27" thickBot="1" x14ac:dyDescent="0.35">
      <c r="A4" s="114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615</v>
      </c>
      <c r="N4" s="32" t="s">
        <v>313</v>
      </c>
      <c r="O4" s="32" t="s">
        <v>314</v>
      </c>
      <c r="P4" s="38"/>
      <c r="Q4" s="38"/>
    </row>
    <row r="5" spans="1:17" ht="25.5" customHeight="1" thickBot="1" x14ac:dyDescent="0.35">
      <c r="A5" s="114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/>
      <c r="N5" s="26" t="s">
        <v>318</v>
      </c>
      <c r="O5" s="26" t="s">
        <v>618</v>
      </c>
      <c r="P5" s="39"/>
      <c r="Q5" s="39"/>
    </row>
    <row r="6" spans="1:17" ht="27" thickBot="1" x14ac:dyDescent="0.35">
      <c r="A6" s="114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/>
      <c r="N6" s="32" t="s">
        <v>316</v>
      </c>
      <c r="O6" s="32" t="s">
        <v>619</v>
      </c>
      <c r="P6" s="38"/>
      <c r="Q6" s="38"/>
    </row>
    <row r="7" spans="1:17" ht="27" thickBot="1" x14ac:dyDescent="0.35">
      <c r="A7" s="114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615</v>
      </c>
      <c r="N7" s="26" t="s">
        <v>320</v>
      </c>
      <c r="O7" s="26" t="s">
        <v>255</v>
      </c>
      <c r="P7" s="39"/>
      <c r="Q7" s="39"/>
    </row>
    <row r="8" spans="1:17" ht="27" thickBot="1" x14ac:dyDescent="0.35">
      <c r="A8" s="114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/>
      <c r="N8" s="32" t="s">
        <v>322</v>
      </c>
      <c r="O8" s="32" t="s">
        <v>620</v>
      </c>
      <c r="P8" s="38"/>
      <c r="Q8" s="38"/>
    </row>
    <row r="9" spans="1:17" ht="27" thickBot="1" x14ac:dyDescent="0.35">
      <c r="A9" s="114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/>
      <c r="N9" s="26" t="s">
        <v>320</v>
      </c>
      <c r="O9" s="26" t="s">
        <v>620</v>
      </c>
      <c r="P9" s="39"/>
      <c r="Q9" s="39"/>
    </row>
    <row r="10" spans="1:17" ht="27" thickBot="1" x14ac:dyDescent="0.35">
      <c r="A10" s="115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/>
      <c r="N10" s="32" t="s">
        <v>325</v>
      </c>
      <c r="O10" s="32" t="s">
        <v>621</v>
      </c>
      <c r="P10" s="38"/>
      <c r="Q10" s="38"/>
    </row>
    <row r="11" spans="1:17" ht="18.75" customHeight="1" thickBot="1" x14ac:dyDescent="0.35">
      <c r="A11" s="113" t="s">
        <v>336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  <c r="Q11" s="39"/>
    </row>
    <row r="12" spans="1:17" ht="27" thickBot="1" x14ac:dyDescent="0.35">
      <c r="A12" s="114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616</v>
      </c>
      <c r="N12" s="32" t="s">
        <v>326</v>
      </c>
      <c r="O12" s="32" t="s">
        <v>327</v>
      </c>
      <c r="P12" s="38"/>
      <c r="Q12" s="38"/>
    </row>
    <row r="13" spans="1:17" ht="27" thickBot="1" x14ac:dyDescent="0.35">
      <c r="A13" s="114"/>
      <c r="B13" s="26" t="s">
        <v>328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287</v>
      </c>
      <c r="N13" s="26" t="s">
        <v>313</v>
      </c>
      <c r="O13" s="26" t="s">
        <v>329</v>
      </c>
      <c r="P13" s="39"/>
      <c r="Q13" s="39"/>
    </row>
    <row r="14" spans="1:17" ht="27" thickBot="1" x14ac:dyDescent="0.35">
      <c r="A14" s="114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615</v>
      </c>
      <c r="N14" s="32" t="s">
        <v>313</v>
      </c>
      <c r="O14" s="32" t="s">
        <v>314</v>
      </c>
      <c r="P14" s="38"/>
      <c r="Q14" s="38"/>
    </row>
    <row r="15" spans="1:17" ht="27" thickBot="1" x14ac:dyDescent="0.35">
      <c r="A15" s="114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287</v>
      </c>
      <c r="N15" s="26" t="s">
        <v>313</v>
      </c>
      <c r="O15" s="26" t="s">
        <v>329</v>
      </c>
      <c r="P15" s="39"/>
      <c r="Q15" s="39"/>
    </row>
    <row r="16" spans="1:17" ht="27" thickBot="1" x14ac:dyDescent="0.35">
      <c r="A16" s="114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615</v>
      </c>
      <c r="N16" s="32" t="s">
        <v>313</v>
      </c>
      <c r="O16" s="32" t="s">
        <v>329</v>
      </c>
      <c r="P16" s="38"/>
      <c r="Q16" s="38"/>
    </row>
    <row r="17" spans="1:17" ht="27" thickBot="1" x14ac:dyDescent="0.35">
      <c r="A17" s="114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617</v>
      </c>
      <c r="N17" s="26" t="s">
        <v>313</v>
      </c>
      <c r="O17" s="26" t="s">
        <v>330</v>
      </c>
      <c r="P17" s="39"/>
      <c r="Q17" s="39"/>
    </row>
    <row r="18" spans="1:17" ht="27" thickBot="1" x14ac:dyDescent="0.35">
      <c r="A18" s="115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615</v>
      </c>
      <c r="N18" s="32" t="s">
        <v>331</v>
      </c>
      <c r="O18" s="32" t="s">
        <v>332</v>
      </c>
      <c r="P18" s="38"/>
      <c r="Q18" s="38"/>
    </row>
    <row r="19" spans="1:17" ht="27" thickBot="1" x14ac:dyDescent="0.35">
      <c r="A19" s="26" t="s">
        <v>434</v>
      </c>
      <c r="B19" s="26" t="s">
        <v>622</v>
      </c>
      <c r="C19" s="94">
        <v>100</v>
      </c>
      <c r="D19" s="95">
        <v>25</v>
      </c>
      <c r="E19" s="96">
        <v>40</v>
      </c>
      <c r="F19" s="97">
        <v>80</v>
      </c>
      <c r="G19" s="98">
        <v>40</v>
      </c>
      <c r="H19" s="99">
        <v>100</v>
      </c>
      <c r="I19" s="100">
        <v>45</v>
      </c>
      <c r="J19" s="101">
        <v>100</v>
      </c>
      <c r="K19" s="102">
        <v>55</v>
      </c>
      <c r="L19" s="91">
        <v>50</v>
      </c>
      <c r="M19" s="91" t="s">
        <v>623</v>
      </c>
      <c r="N19" s="32" t="s">
        <v>624</v>
      </c>
      <c r="O19" s="32" t="s">
        <v>621</v>
      </c>
      <c r="P19" s="103"/>
      <c r="Q19" s="103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workbookViewId="0">
      <pane ySplit="1" topLeftCell="A27" activePane="bottomLeft" state="frozen"/>
      <selection pane="bottomLeft" activeCell="F12" sqref="F12"/>
    </sheetView>
  </sheetViews>
  <sheetFormatPr defaultRowHeight="14.4" x14ac:dyDescent="0.3"/>
  <cols>
    <col min="2" max="2" width="12.109375" customWidth="1"/>
    <col min="3" max="3" width="12" customWidth="1"/>
    <col min="4" max="4" width="16.5546875" customWidth="1"/>
    <col min="5" max="5" width="43.109375" customWidth="1"/>
    <col min="6" max="6" width="53.6640625" customWidth="1"/>
    <col min="7" max="7" width="46.33203125" customWidth="1"/>
    <col min="8" max="8" width="14.44140625" customWidth="1"/>
    <col min="9" max="9" width="30.109375" customWidth="1"/>
  </cols>
  <sheetData>
    <row r="1" spans="1:9" ht="15" thickBot="1" x14ac:dyDescent="0.35">
      <c r="A1" s="44" t="s">
        <v>333</v>
      </c>
      <c r="B1" s="44" t="s">
        <v>337</v>
      </c>
      <c r="C1" s="44" t="s">
        <v>338</v>
      </c>
      <c r="D1" s="44" t="s">
        <v>339</v>
      </c>
      <c r="E1" s="44" t="s">
        <v>340</v>
      </c>
      <c r="F1" s="44" t="s">
        <v>341</v>
      </c>
      <c r="G1" s="44" t="s">
        <v>342</v>
      </c>
      <c r="H1" s="44" t="s">
        <v>237</v>
      </c>
      <c r="I1" s="48"/>
    </row>
    <row r="2" spans="1:9" ht="17.25" customHeight="1" thickBot="1" x14ac:dyDescent="0.35">
      <c r="A2" s="119" t="s">
        <v>381</v>
      </c>
      <c r="B2" s="119" t="s">
        <v>298</v>
      </c>
      <c r="C2" s="119" t="s">
        <v>298</v>
      </c>
      <c r="D2" s="45" t="s">
        <v>343</v>
      </c>
      <c r="E2" s="45" t="s">
        <v>455</v>
      </c>
      <c r="F2" s="45" t="s">
        <v>455</v>
      </c>
      <c r="G2" s="45" t="s">
        <v>344</v>
      </c>
      <c r="H2" s="119" t="s">
        <v>345</v>
      </c>
      <c r="I2" s="62"/>
    </row>
    <row r="3" spans="1:9" ht="16.5" customHeight="1" thickBot="1" x14ac:dyDescent="0.35">
      <c r="A3" s="117"/>
      <c r="B3" s="117"/>
      <c r="C3" s="117"/>
      <c r="D3" s="46" t="s">
        <v>346</v>
      </c>
      <c r="E3" s="46" t="s">
        <v>456</v>
      </c>
      <c r="F3" s="46" t="s">
        <v>456</v>
      </c>
      <c r="G3" s="46" t="s">
        <v>457</v>
      </c>
      <c r="H3" s="117"/>
    </row>
    <row r="4" spans="1:9" ht="16.5" customHeight="1" x14ac:dyDescent="0.3">
      <c r="A4" s="117"/>
      <c r="B4" s="117"/>
      <c r="C4" s="117"/>
      <c r="D4" s="60" t="s">
        <v>347</v>
      </c>
      <c r="E4" s="60" t="s">
        <v>569</v>
      </c>
      <c r="F4" s="60" t="s">
        <v>568</v>
      </c>
      <c r="G4" s="60" t="s">
        <v>570</v>
      </c>
      <c r="H4" s="117"/>
    </row>
    <row r="5" spans="1:9" ht="17.25" customHeight="1" thickBot="1" x14ac:dyDescent="0.35">
      <c r="A5" s="117"/>
      <c r="B5" s="116" t="s">
        <v>299</v>
      </c>
      <c r="C5" s="116" t="s">
        <v>299</v>
      </c>
      <c r="D5" s="61" t="s">
        <v>343</v>
      </c>
      <c r="E5" s="61" t="s">
        <v>557</v>
      </c>
      <c r="F5" s="61" t="s">
        <v>558</v>
      </c>
      <c r="G5" s="61" t="s">
        <v>559</v>
      </c>
      <c r="H5" s="116" t="s">
        <v>345</v>
      </c>
    </row>
    <row r="6" spans="1:9" ht="16.5" customHeight="1" thickBot="1" x14ac:dyDescent="0.35">
      <c r="A6" s="117"/>
      <c r="B6" s="117"/>
      <c r="C6" s="117"/>
      <c r="D6" s="46" t="s">
        <v>346</v>
      </c>
      <c r="E6" s="46" t="s">
        <v>460</v>
      </c>
      <c r="F6" s="46" t="s">
        <v>462</v>
      </c>
      <c r="G6" s="46" t="s">
        <v>554</v>
      </c>
      <c r="H6" s="117"/>
    </row>
    <row r="7" spans="1:9" ht="18.75" customHeight="1" x14ac:dyDescent="0.3">
      <c r="A7" s="117"/>
      <c r="B7" s="120"/>
      <c r="C7" s="120"/>
      <c r="D7" s="59" t="s">
        <v>347</v>
      </c>
      <c r="E7" s="59" t="s">
        <v>459</v>
      </c>
      <c r="F7" s="59" t="s">
        <v>461</v>
      </c>
      <c r="G7" s="59" t="s">
        <v>560</v>
      </c>
      <c r="H7" s="120"/>
    </row>
    <row r="8" spans="1:9" ht="17.25" customHeight="1" thickBot="1" x14ac:dyDescent="0.35">
      <c r="A8" s="117"/>
      <c r="B8" s="116" t="s">
        <v>351</v>
      </c>
      <c r="C8" s="116" t="s">
        <v>315</v>
      </c>
      <c r="D8" s="61" t="s">
        <v>343</v>
      </c>
      <c r="E8" s="61" t="s">
        <v>349</v>
      </c>
      <c r="F8" s="61" t="s">
        <v>463</v>
      </c>
      <c r="G8" s="61" t="s">
        <v>220</v>
      </c>
      <c r="H8" s="116" t="s">
        <v>352</v>
      </c>
    </row>
    <row r="9" spans="1:9" ht="16.5" customHeight="1" thickBot="1" x14ac:dyDescent="0.35">
      <c r="A9" s="117"/>
      <c r="B9" s="117"/>
      <c r="C9" s="117"/>
      <c r="D9" s="46" t="s">
        <v>346</v>
      </c>
      <c r="E9" s="46" t="s">
        <v>584</v>
      </c>
      <c r="F9" s="46" t="s">
        <v>537</v>
      </c>
      <c r="G9" s="46" t="s">
        <v>545</v>
      </c>
      <c r="H9" s="117"/>
    </row>
    <row r="10" spans="1:9" ht="16.5" customHeight="1" x14ac:dyDescent="0.3">
      <c r="A10" s="117"/>
      <c r="B10" s="120"/>
      <c r="C10" s="120"/>
      <c r="D10" s="59" t="s">
        <v>347</v>
      </c>
      <c r="E10" s="59" t="s">
        <v>350</v>
      </c>
      <c r="F10" s="59" t="s">
        <v>546</v>
      </c>
      <c r="G10" s="59" t="s">
        <v>464</v>
      </c>
      <c r="H10" s="120"/>
    </row>
    <row r="11" spans="1:9" ht="17.25" customHeight="1" thickBot="1" x14ac:dyDescent="0.35">
      <c r="A11" s="117"/>
      <c r="B11" s="116" t="s">
        <v>353</v>
      </c>
      <c r="C11" s="116" t="s">
        <v>317</v>
      </c>
      <c r="D11" s="61" t="s">
        <v>343</v>
      </c>
      <c r="E11" s="61" t="s">
        <v>587</v>
      </c>
      <c r="F11" s="61" t="s">
        <v>588</v>
      </c>
      <c r="G11" s="61" t="s">
        <v>534</v>
      </c>
      <c r="H11" s="116" t="s">
        <v>354</v>
      </c>
    </row>
    <row r="12" spans="1:9" ht="17.25" customHeight="1" thickBot="1" x14ac:dyDescent="0.35">
      <c r="A12" s="117"/>
      <c r="B12" s="117"/>
      <c r="C12" s="117"/>
      <c r="D12" s="46" t="s">
        <v>346</v>
      </c>
      <c r="E12" s="46" t="s">
        <v>586</v>
      </c>
      <c r="F12" s="46" t="s">
        <v>589</v>
      </c>
      <c r="G12" s="46" t="s">
        <v>203</v>
      </c>
      <c r="H12" s="117"/>
    </row>
    <row r="13" spans="1:9" ht="17.25" customHeight="1" x14ac:dyDescent="0.3">
      <c r="A13" s="117"/>
      <c r="B13" s="117"/>
      <c r="C13" s="117"/>
      <c r="D13" s="60" t="s">
        <v>347</v>
      </c>
      <c r="E13" s="60" t="s">
        <v>355</v>
      </c>
      <c r="F13" s="60" t="s">
        <v>350</v>
      </c>
      <c r="G13" s="60" t="s">
        <v>348</v>
      </c>
      <c r="H13" s="117"/>
    </row>
    <row r="14" spans="1:9" ht="17.25" customHeight="1" thickBot="1" x14ac:dyDescent="0.35">
      <c r="A14" s="117"/>
      <c r="B14" s="116" t="s">
        <v>356</v>
      </c>
      <c r="C14" s="116" t="s">
        <v>319</v>
      </c>
      <c r="D14" s="61" t="s">
        <v>343</v>
      </c>
      <c r="E14" s="61" t="s">
        <v>450</v>
      </c>
      <c r="F14" s="61" t="s">
        <v>450</v>
      </c>
      <c r="G14" s="61" t="s">
        <v>448</v>
      </c>
      <c r="H14" s="116" t="s">
        <v>345</v>
      </c>
    </row>
    <row r="15" spans="1:9" ht="18.75" customHeight="1" thickBot="1" x14ac:dyDescent="0.35">
      <c r="A15" s="117"/>
      <c r="B15" s="117"/>
      <c r="C15" s="117"/>
      <c r="D15" s="46" t="s">
        <v>346</v>
      </c>
      <c r="E15" s="46" t="s">
        <v>449</v>
      </c>
      <c r="F15" s="46" t="s">
        <v>447</v>
      </c>
      <c r="G15" s="46" t="s">
        <v>552</v>
      </c>
      <c r="H15" s="117"/>
    </row>
    <row r="16" spans="1:9" ht="18" customHeight="1" x14ac:dyDescent="0.3">
      <c r="A16" s="117"/>
      <c r="B16" s="120"/>
      <c r="C16" s="120"/>
      <c r="D16" s="59" t="s">
        <v>347</v>
      </c>
      <c r="E16" s="59" t="s">
        <v>513</v>
      </c>
      <c r="F16" s="59" t="s">
        <v>446</v>
      </c>
      <c r="G16" s="59" t="s">
        <v>553</v>
      </c>
      <c r="H16" s="120"/>
    </row>
    <row r="17" spans="1:8" ht="20.25" customHeight="1" thickBot="1" x14ac:dyDescent="0.35">
      <c r="A17" s="117"/>
      <c r="B17" s="116" t="s">
        <v>357</v>
      </c>
      <c r="C17" s="116" t="s">
        <v>321</v>
      </c>
      <c r="D17" s="61" t="s">
        <v>343</v>
      </c>
      <c r="E17" s="61" t="s">
        <v>11</v>
      </c>
      <c r="F17" s="61" t="s">
        <v>111</v>
      </c>
      <c r="G17" s="61" t="s">
        <v>111</v>
      </c>
      <c r="H17" s="116" t="s">
        <v>352</v>
      </c>
    </row>
    <row r="18" spans="1:8" ht="18" customHeight="1" thickBot="1" x14ac:dyDescent="0.35">
      <c r="A18" s="117"/>
      <c r="B18" s="117"/>
      <c r="C18" s="117"/>
      <c r="D18" s="46" t="s">
        <v>346</v>
      </c>
      <c r="E18" s="46" t="s">
        <v>533</v>
      </c>
      <c r="F18" s="46" t="s">
        <v>576</v>
      </c>
      <c r="G18" s="46" t="s">
        <v>576</v>
      </c>
      <c r="H18" s="117"/>
    </row>
    <row r="19" spans="1:8" ht="17.25" customHeight="1" x14ac:dyDescent="0.3">
      <c r="A19" s="117"/>
      <c r="B19" s="120"/>
      <c r="C19" s="120"/>
      <c r="D19" s="59" t="s">
        <v>347</v>
      </c>
      <c r="E19" s="59" t="s">
        <v>445</v>
      </c>
      <c r="F19" s="59" t="s">
        <v>512</v>
      </c>
      <c r="G19" s="59" t="s">
        <v>512</v>
      </c>
      <c r="H19" s="120"/>
    </row>
    <row r="20" spans="1:8" ht="16.5" customHeight="1" thickBot="1" x14ac:dyDescent="0.35">
      <c r="A20" s="117"/>
      <c r="B20" s="116" t="s">
        <v>358</v>
      </c>
      <c r="C20" s="116" t="s">
        <v>323</v>
      </c>
      <c r="D20" s="61" t="s">
        <v>343</v>
      </c>
      <c r="E20" s="61" t="s">
        <v>359</v>
      </c>
      <c r="F20" s="61" t="s">
        <v>521</v>
      </c>
      <c r="G20" s="61" t="s">
        <v>596</v>
      </c>
      <c r="H20" s="116" t="s">
        <v>352</v>
      </c>
    </row>
    <row r="21" spans="1:8" ht="16.5" customHeight="1" thickBot="1" x14ac:dyDescent="0.35">
      <c r="A21" s="117"/>
      <c r="B21" s="117"/>
      <c r="C21" s="117"/>
      <c r="D21" s="46" t="s">
        <v>346</v>
      </c>
      <c r="E21" s="46" t="s">
        <v>532</v>
      </c>
      <c r="F21" s="46" t="s">
        <v>521</v>
      </c>
      <c r="G21" s="46" t="s">
        <v>360</v>
      </c>
      <c r="H21" s="117"/>
    </row>
    <row r="22" spans="1:8" ht="15.75" customHeight="1" thickBot="1" x14ac:dyDescent="0.35">
      <c r="A22" s="117"/>
      <c r="B22" s="117"/>
      <c r="C22" s="117"/>
      <c r="D22" s="60" t="s">
        <v>347</v>
      </c>
      <c r="E22" s="60" t="s">
        <v>593</v>
      </c>
      <c r="F22" s="60" t="s">
        <v>592</v>
      </c>
      <c r="G22" s="60" t="s">
        <v>361</v>
      </c>
      <c r="H22" s="118"/>
    </row>
    <row r="23" spans="1:8" ht="16.5" customHeight="1" thickBot="1" x14ac:dyDescent="0.35">
      <c r="A23" s="117"/>
      <c r="B23" s="116" t="s">
        <v>362</v>
      </c>
      <c r="C23" s="116" t="s">
        <v>324</v>
      </c>
      <c r="D23" s="61" t="s">
        <v>343</v>
      </c>
      <c r="E23" s="61" t="s">
        <v>148</v>
      </c>
      <c r="F23" s="61" t="s">
        <v>579</v>
      </c>
      <c r="G23" s="61" t="s">
        <v>578</v>
      </c>
      <c r="H23" s="119" t="s">
        <v>352</v>
      </c>
    </row>
    <row r="24" spans="1:8" ht="15" customHeight="1" thickBot="1" x14ac:dyDescent="0.35">
      <c r="A24" s="117"/>
      <c r="B24" s="117"/>
      <c r="C24" s="117"/>
      <c r="D24" s="46" t="s">
        <v>346</v>
      </c>
      <c r="E24" s="65" t="s">
        <v>528</v>
      </c>
      <c r="F24" s="46" t="s">
        <v>580</v>
      </c>
      <c r="G24" s="46" t="s">
        <v>453</v>
      </c>
      <c r="H24" s="117"/>
    </row>
    <row r="25" spans="1:8" ht="15.75" customHeight="1" thickBot="1" x14ac:dyDescent="0.35">
      <c r="A25" s="118"/>
      <c r="B25" s="118"/>
      <c r="C25" s="118"/>
      <c r="D25" s="47" t="s">
        <v>347</v>
      </c>
      <c r="E25" s="47" t="s">
        <v>527</v>
      </c>
      <c r="F25" s="47" t="s">
        <v>451</v>
      </c>
      <c r="G25" s="47" t="s">
        <v>452</v>
      </c>
      <c r="H25" s="118"/>
    </row>
    <row r="26" spans="1:8" ht="16.5" customHeight="1" thickBot="1" x14ac:dyDescent="0.35">
      <c r="A26" s="119" t="s">
        <v>336</v>
      </c>
      <c r="B26" s="119" t="s">
        <v>298</v>
      </c>
      <c r="C26" s="119" t="s">
        <v>298</v>
      </c>
      <c r="D26" s="45" t="s">
        <v>343</v>
      </c>
      <c r="E26" s="121"/>
      <c r="F26" s="122"/>
      <c r="G26" s="123"/>
      <c r="H26" s="124"/>
    </row>
    <row r="27" spans="1:8" ht="16.5" customHeight="1" thickBot="1" x14ac:dyDescent="0.35">
      <c r="A27" s="117"/>
      <c r="B27" s="117"/>
      <c r="C27" s="117"/>
      <c r="D27" s="46" t="s">
        <v>346</v>
      </c>
      <c r="E27" s="121"/>
      <c r="F27" s="122"/>
      <c r="G27" s="123"/>
      <c r="H27" s="125"/>
    </row>
    <row r="28" spans="1:8" ht="15.75" customHeight="1" x14ac:dyDescent="0.3">
      <c r="A28" s="117"/>
      <c r="B28" s="117"/>
      <c r="C28" s="117"/>
      <c r="D28" s="60" t="s">
        <v>347</v>
      </c>
      <c r="E28" s="126"/>
      <c r="F28" s="127"/>
      <c r="G28" s="128"/>
      <c r="H28" s="125"/>
    </row>
    <row r="29" spans="1:8" ht="16.5" customHeight="1" thickBot="1" x14ac:dyDescent="0.35">
      <c r="A29" s="117"/>
      <c r="B29" s="116" t="s">
        <v>299</v>
      </c>
      <c r="C29" s="116" t="s">
        <v>299</v>
      </c>
      <c r="D29" s="61" t="s">
        <v>343</v>
      </c>
      <c r="E29" s="75" t="s">
        <v>499</v>
      </c>
      <c r="F29" s="64" t="s">
        <v>500</v>
      </c>
      <c r="G29" s="76" t="s">
        <v>439</v>
      </c>
      <c r="H29" s="116" t="s">
        <v>345</v>
      </c>
    </row>
    <row r="30" spans="1:8" ht="16.5" customHeight="1" thickBot="1" x14ac:dyDescent="0.35">
      <c r="A30" s="117"/>
      <c r="B30" s="117"/>
      <c r="C30" s="117"/>
      <c r="D30" s="46" t="s">
        <v>346</v>
      </c>
      <c r="E30" s="79" t="s">
        <v>498</v>
      </c>
      <c r="F30" s="71" t="s">
        <v>501</v>
      </c>
      <c r="G30" s="77" t="s">
        <v>630</v>
      </c>
      <c r="H30" s="117"/>
    </row>
    <row r="31" spans="1:8" ht="17.25" customHeight="1" x14ac:dyDescent="0.3">
      <c r="A31" s="117"/>
      <c r="B31" s="120"/>
      <c r="C31" s="120"/>
      <c r="D31" s="59" t="s">
        <v>347</v>
      </c>
      <c r="E31" s="78" t="s">
        <v>563</v>
      </c>
      <c r="F31" s="74" t="s">
        <v>562</v>
      </c>
      <c r="G31" s="78" t="s">
        <v>561</v>
      </c>
      <c r="H31" s="120"/>
    </row>
    <row r="32" spans="1:8" ht="18" customHeight="1" thickBot="1" x14ac:dyDescent="0.35">
      <c r="A32" s="117"/>
      <c r="B32" s="117" t="s">
        <v>351</v>
      </c>
      <c r="C32" s="117" t="s">
        <v>328</v>
      </c>
      <c r="D32" s="58" t="s">
        <v>343</v>
      </c>
      <c r="E32" s="73" t="s">
        <v>493</v>
      </c>
      <c r="F32" s="80" t="s">
        <v>494</v>
      </c>
      <c r="G32" s="73" t="s">
        <v>495</v>
      </c>
      <c r="H32" s="117" t="s">
        <v>345</v>
      </c>
    </row>
    <row r="33" spans="1:8" ht="18" customHeight="1" thickBot="1" x14ac:dyDescent="0.35">
      <c r="A33" s="117"/>
      <c r="B33" s="117"/>
      <c r="C33" s="117"/>
      <c r="D33" s="46" t="s">
        <v>346</v>
      </c>
      <c r="E33" s="79" t="s">
        <v>492</v>
      </c>
      <c r="F33" s="71" t="s">
        <v>496</v>
      </c>
      <c r="G33" s="79" t="s">
        <v>496</v>
      </c>
      <c r="H33" s="117"/>
    </row>
    <row r="34" spans="1:8" ht="17.25" customHeight="1" x14ac:dyDescent="0.3">
      <c r="A34" s="117"/>
      <c r="B34" s="117"/>
      <c r="C34" s="117"/>
      <c r="D34" s="60" t="s">
        <v>347</v>
      </c>
      <c r="E34" s="67" t="s">
        <v>490</v>
      </c>
      <c r="F34" s="81" t="s">
        <v>491</v>
      </c>
      <c r="G34" s="67" t="s">
        <v>497</v>
      </c>
      <c r="H34" s="117"/>
    </row>
    <row r="35" spans="1:8" ht="17.25" customHeight="1" thickBot="1" x14ac:dyDescent="0.35">
      <c r="A35" s="117"/>
      <c r="B35" s="116" t="s">
        <v>353</v>
      </c>
      <c r="C35" s="116" t="s">
        <v>317</v>
      </c>
      <c r="D35" s="61" t="s">
        <v>343</v>
      </c>
      <c r="E35" s="75" t="s">
        <v>479</v>
      </c>
      <c r="F35" s="75" t="s">
        <v>477</v>
      </c>
      <c r="G35" s="75" t="s">
        <v>477</v>
      </c>
      <c r="H35" s="116" t="s">
        <v>345</v>
      </c>
    </row>
    <row r="36" spans="1:8" ht="16.5" customHeight="1" thickBot="1" x14ac:dyDescent="0.35">
      <c r="A36" s="117"/>
      <c r="B36" s="117"/>
      <c r="C36" s="117"/>
      <c r="D36" s="46" t="s">
        <v>346</v>
      </c>
      <c r="E36" s="79" t="s">
        <v>480</v>
      </c>
      <c r="F36" s="79" t="s">
        <v>476</v>
      </c>
      <c r="G36" s="79" t="s">
        <v>476</v>
      </c>
      <c r="H36" s="117"/>
    </row>
    <row r="37" spans="1:8" ht="18" customHeight="1" x14ac:dyDescent="0.3">
      <c r="A37" s="117"/>
      <c r="B37" s="117"/>
      <c r="C37" s="117"/>
      <c r="D37" s="60" t="s">
        <v>347</v>
      </c>
      <c r="E37" s="90" t="s">
        <v>458</v>
      </c>
      <c r="F37" s="90" t="s">
        <v>478</v>
      </c>
      <c r="G37" s="90" t="s">
        <v>478</v>
      </c>
      <c r="H37" s="117"/>
    </row>
    <row r="38" spans="1:8" ht="18.75" customHeight="1" thickBot="1" x14ac:dyDescent="0.35">
      <c r="A38" s="117"/>
      <c r="B38" s="116" t="s">
        <v>356</v>
      </c>
      <c r="C38" s="116" t="s">
        <v>287</v>
      </c>
      <c r="D38" s="61" t="s">
        <v>343</v>
      </c>
      <c r="E38" s="63" t="s">
        <v>472</v>
      </c>
      <c r="F38" s="85" t="s">
        <v>471</v>
      </c>
      <c r="G38" s="63" t="s">
        <v>535</v>
      </c>
      <c r="H38" s="116" t="s">
        <v>363</v>
      </c>
    </row>
    <row r="39" spans="1:8" ht="17.25" customHeight="1" thickBot="1" x14ac:dyDescent="0.35">
      <c r="A39" s="117"/>
      <c r="B39" s="117"/>
      <c r="C39" s="117"/>
      <c r="D39" s="46" t="s">
        <v>346</v>
      </c>
      <c r="E39" s="79" t="s">
        <v>473</v>
      </c>
      <c r="F39" s="71" t="s">
        <v>474</v>
      </c>
      <c r="G39" s="79" t="s">
        <v>474</v>
      </c>
      <c r="H39" s="117"/>
    </row>
    <row r="40" spans="1:8" ht="18" customHeight="1" x14ac:dyDescent="0.3">
      <c r="A40" s="117"/>
      <c r="B40" s="117"/>
      <c r="C40" s="117"/>
      <c r="D40" s="60" t="s">
        <v>347</v>
      </c>
      <c r="E40" s="67" t="s">
        <v>514</v>
      </c>
      <c r="F40" s="81" t="s">
        <v>475</v>
      </c>
      <c r="G40" s="67" t="s">
        <v>475</v>
      </c>
      <c r="H40" s="117"/>
    </row>
    <row r="41" spans="1:8" ht="18" customHeight="1" thickBot="1" x14ac:dyDescent="0.35">
      <c r="A41" s="117"/>
      <c r="B41" s="116" t="s">
        <v>357</v>
      </c>
      <c r="C41" s="116" t="s">
        <v>321</v>
      </c>
      <c r="D41" s="61" t="s">
        <v>343</v>
      </c>
      <c r="E41" s="86" t="s">
        <v>465</v>
      </c>
      <c r="F41" s="80" t="s">
        <v>469</v>
      </c>
      <c r="G41" s="86" t="s">
        <v>531</v>
      </c>
      <c r="H41" s="116" t="s">
        <v>345</v>
      </c>
    </row>
    <row r="42" spans="1:8" ht="16.5" customHeight="1" thickBot="1" x14ac:dyDescent="0.35">
      <c r="A42" s="117"/>
      <c r="B42" s="117"/>
      <c r="C42" s="117"/>
      <c r="D42" s="46" t="s">
        <v>346</v>
      </c>
      <c r="E42" s="87" t="s">
        <v>466</v>
      </c>
      <c r="F42" s="88" t="s">
        <v>470</v>
      </c>
      <c r="G42" s="87" t="s">
        <v>530</v>
      </c>
      <c r="H42" s="117"/>
    </row>
    <row r="43" spans="1:8" ht="16.5" customHeight="1" x14ac:dyDescent="0.3">
      <c r="A43" s="117"/>
      <c r="B43" s="117"/>
      <c r="C43" s="117"/>
      <c r="D43" s="60" t="s">
        <v>347</v>
      </c>
      <c r="E43" s="67" t="s">
        <v>467</v>
      </c>
      <c r="F43" s="89" t="s">
        <v>468</v>
      </c>
      <c r="G43" s="67" t="s">
        <v>529</v>
      </c>
      <c r="H43" s="117"/>
    </row>
    <row r="44" spans="1:8" ht="18" customHeight="1" thickBot="1" x14ac:dyDescent="0.35">
      <c r="A44" s="117"/>
      <c r="B44" s="116" t="s">
        <v>358</v>
      </c>
      <c r="C44" s="116" t="s">
        <v>315</v>
      </c>
      <c r="D44" s="61" t="s">
        <v>343</v>
      </c>
      <c r="E44" s="68" t="s">
        <v>488</v>
      </c>
      <c r="F44" s="82" t="s">
        <v>489</v>
      </c>
      <c r="G44" s="68" t="s">
        <v>489</v>
      </c>
      <c r="H44" s="116" t="s">
        <v>571</v>
      </c>
    </row>
    <row r="45" spans="1:8" ht="18" customHeight="1" thickBot="1" x14ac:dyDescent="0.35">
      <c r="A45" s="117"/>
      <c r="B45" s="117"/>
      <c r="C45" s="117"/>
      <c r="D45" s="66" t="s">
        <v>346</v>
      </c>
      <c r="E45" s="69" t="s">
        <v>538</v>
      </c>
      <c r="F45" s="69" t="s">
        <v>549</v>
      </c>
      <c r="G45" s="69" t="s">
        <v>550</v>
      </c>
      <c r="H45" s="117"/>
    </row>
    <row r="46" spans="1:8" ht="16.5" customHeight="1" x14ac:dyDescent="0.3">
      <c r="A46" s="117"/>
      <c r="B46" s="117"/>
      <c r="C46" s="117"/>
      <c r="D46" s="60" t="s">
        <v>347</v>
      </c>
      <c r="E46" s="67" t="s">
        <v>547</v>
      </c>
      <c r="F46" s="81" t="s">
        <v>548</v>
      </c>
      <c r="G46" s="67" t="s">
        <v>551</v>
      </c>
      <c r="H46" s="117"/>
    </row>
    <row r="47" spans="1:8" ht="18" customHeight="1" thickBot="1" x14ac:dyDescent="0.35">
      <c r="A47" s="117"/>
      <c r="B47" s="116" t="s">
        <v>362</v>
      </c>
      <c r="C47" s="116" t="s">
        <v>324</v>
      </c>
      <c r="D47" s="61" t="s">
        <v>343</v>
      </c>
      <c r="E47" s="63" t="s">
        <v>158</v>
      </c>
      <c r="F47" s="80" t="s">
        <v>486</v>
      </c>
      <c r="G47" s="63" t="s">
        <v>454</v>
      </c>
      <c r="H47" s="116" t="s">
        <v>345</v>
      </c>
    </row>
    <row r="48" spans="1:8" ht="17.25" customHeight="1" thickBot="1" x14ac:dyDescent="0.35">
      <c r="A48" s="117"/>
      <c r="B48" s="117"/>
      <c r="C48" s="117"/>
      <c r="D48" s="46" t="s">
        <v>346</v>
      </c>
      <c r="E48" s="70" t="s">
        <v>483</v>
      </c>
      <c r="F48" s="83" t="s">
        <v>487</v>
      </c>
      <c r="G48" s="70" t="s">
        <v>481</v>
      </c>
      <c r="H48" s="117"/>
    </row>
    <row r="49" spans="1:8" ht="16.5" customHeight="1" thickBot="1" x14ac:dyDescent="0.35">
      <c r="A49" s="118"/>
      <c r="B49" s="118"/>
      <c r="C49" s="118"/>
      <c r="D49" s="47" t="s">
        <v>347</v>
      </c>
      <c r="E49" s="84" t="s">
        <v>484</v>
      </c>
      <c r="F49" s="72" t="s">
        <v>485</v>
      </c>
      <c r="G49" s="84" t="s">
        <v>482</v>
      </c>
      <c r="H49" s="118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11"/>
  <sheetViews>
    <sheetView workbookViewId="0">
      <selection activeCell="N23" sqref="N23"/>
    </sheetView>
  </sheetViews>
  <sheetFormatPr defaultRowHeight="14.4" x14ac:dyDescent="0.3"/>
  <cols>
    <col min="1" max="1" width="18.88671875" customWidth="1"/>
    <col min="2" max="2" width="8.44140625" customWidth="1"/>
    <col min="5" max="5" width="13" customWidth="1"/>
    <col min="7" max="7" width="12.44140625" customWidth="1"/>
    <col min="9" max="9" width="13.88671875" customWidth="1"/>
    <col min="11" max="11" width="15.109375" customWidth="1"/>
    <col min="12" max="12" width="10.88671875" customWidth="1"/>
    <col min="14" max="14" width="13.5546875" customWidth="1"/>
    <col min="15" max="15" width="16" customWidth="1"/>
  </cols>
  <sheetData>
    <row r="1" spans="1:16" ht="27" thickBot="1" x14ac:dyDescent="0.35">
      <c r="A1" s="20" t="s">
        <v>236</v>
      </c>
      <c r="B1" s="20" t="s">
        <v>364</v>
      </c>
      <c r="C1" s="20" t="s">
        <v>365</v>
      </c>
      <c r="D1" s="20" t="s">
        <v>366</v>
      </c>
      <c r="E1" s="20" t="s">
        <v>367</v>
      </c>
      <c r="F1" s="20" t="s">
        <v>368</v>
      </c>
      <c r="G1" s="20" t="s">
        <v>369</v>
      </c>
      <c r="H1" s="20" t="s">
        <v>370</v>
      </c>
      <c r="I1" s="20" t="s">
        <v>371</v>
      </c>
      <c r="J1" s="20" t="s">
        <v>372</v>
      </c>
      <c r="K1" s="20" t="s">
        <v>373</v>
      </c>
      <c r="L1" s="20" t="s">
        <v>374</v>
      </c>
      <c r="M1" s="20" t="s">
        <v>375</v>
      </c>
      <c r="N1" s="20" t="s">
        <v>376</v>
      </c>
      <c r="O1" s="20" t="s">
        <v>377</v>
      </c>
      <c r="P1" s="20" t="s">
        <v>378</v>
      </c>
    </row>
    <row r="2" spans="1:16" ht="27" thickBot="1" x14ac:dyDescent="0.35">
      <c r="A2" s="32" t="s">
        <v>379</v>
      </c>
      <c r="B2" s="32" t="s">
        <v>380</v>
      </c>
      <c r="C2" s="32">
        <v>3</v>
      </c>
      <c r="D2" s="32" t="s">
        <v>381</v>
      </c>
      <c r="E2" s="32">
        <v>0</v>
      </c>
      <c r="F2" s="32">
        <v>0</v>
      </c>
      <c r="G2" s="49">
        <v>0</v>
      </c>
      <c r="H2" s="49" t="s">
        <v>405</v>
      </c>
      <c r="I2" s="49" t="s">
        <v>405</v>
      </c>
      <c r="J2" s="49" t="s">
        <v>403</v>
      </c>
      <c r="K2" s="49">
        <v>0</v>
      </c>
      <c r="L2" s="49">
        <v>0</v>
      </c>
      <c r="M2" s="32" t="s">
        <v>382</v>
      </c>
      <c r="N2" s="32" t="s">
        <v>383</v>
      </c>
      <c r="O2" s="32">
        <v>300</v>
      </c>
      <c r="P2" s="32" t="s">
        <v>384</v>
      </c>
    </row>
    <row r="3" spans="1:16" ht="27" thickBot="1" x14ac:dyDescent="0.35">
      <c r="A3" s="26" t="s">
        <v>385</v>
      </c>
      <c r="B3" s="26" t="s">
        <v>600</v>
      </c>
      <c r="C3" s="26">
        <v>12</v>
      </c>
      <c r="D3" s="26" t="s">
        <v>381</v>
      </c>
      <c r="E3" s="26">
        <v>0</v>
      </c>
      <c r="F3" s="26">
        <v>0</v>
      </c>
      <c r="G3" s="50">
        <v>0</v>
      </c>
      <c r="H3" s="50" t="s">
        <v>403</v>
      </c>
      <c r="I3" s="50" t="s">
        <v>405</v>
      </c>
      <c r="J3" s="50" t="s">
        <v>403</v>
      </c>
      <c r="K3" s="50">
        <v>0</v>
      </c>
      <c r="L3" s="50">
        <v>0</v>
      </c>
      <c r="M3" s="26" t="s">
        <v>386</v>
      </c>
      <c r="N3" s="26" t="s">
        <v>383</v>
      </c>
      <c r="O3" s="26">
        <v>400</v>
      </c>
      <c r="P3" s="26" t="s">
        <v>384</v>
      </c>
    </row>
    <row r="4" spans="1:16" ht="27" thickBot="1" x14ac:dyDescent="0.35">
      <c r="A4" s="32" t="s">
        <v>387</v>
      </c>
      <c r="B4" s="32" t="s">
        <v>601</v>
      </c>
      <c r="C4" s="32">
        <v>0</v>
      </c>
      <c r="D4" s="32" t="s">
        <v>381</v>
      </c>
      <c r="E4" s="32">
        <v>0</v>
      </c>
      <c r="F4" s="32">
        <v>1</v>
      </c>
      <c r="G4" s="49">
        <v>1</v>
      </c>
      <c r="H4" s="49" t="s">
        <v>406</v>
      </c>
      <c r="I4" s="49" t="s">
        <v>406</v>
      </c>
      <c r="J4" s="49" t="s">
        <v>602</v>
      </c>
      <c r="K4" s="49">
        <v>0</v>
      </c>
      <c r="L4" s="49">
        <v>0</v>
      </c>
      <c r="M4" s="32" t="s">
        <v>386</v>
      </c>
      <c r="N4" s="32" t="s">
        <v>388</v>
      </c>
      <c r="O4" s="32" t="s">
        <v>389</v>
      </c>
      <c r="P4" s="32" t="s">
        <v>384</v>
      </c>
    </row>
    <row r="5" spans="1:16" ht="27" thickBot="1" x14ac:dyDescent="0.35">
      <c r="A5" s="26" t="s">
        <v>390</v>
      </c>
      <c r="B5" s="26" t="s">
        <v>391</v>
      </c>
      <c r="C5" s="26">
        <v>20</v>
      </c>
      <c r="D5" s="26" t="s">
        <v>381</v>
      </c>
      <c r="E5" s="26">
        <v>0</v>
      </c>
      <c r="F5" s="26">
        <v>1</v>
      </c>
      <c r="G5" s="50" t="s">
        <v>404</v>
      </c>
      <c r="H5" s="50" t="s">
        <v>604</v>
      </c>
      <c r="I5" s="50" t="s">
        <v>604</v>
      </c>
      <c r="J5" s="50" t="s">
        <v>603</v>
      </c>
      <c r="K5" s="50" t="s">
        <v>408</v>
      </c>
      <c r="L5" s="50" t="s">
        <v>409</v>
      </c>
      <c r="M5" s="26" t="s">
        <v>392</v>
      </c>
      <c r="N5" s="26" t="s">
        <v>383</v>
      </c>
      <c r="O5" s="26" t="s">
        <v>393</v>
      </c>
      <c r="P5" s="26" t="s">
        <v>384</v>
      </c>
    </row>
    <row r="6" spans="1:16" ht="27" thickBot="1" x14ac:dyDescent="0.35">
      <c r="A6" s="32" t="s">
        <v>394</v>
      </c>
      <c r="B6" s="32" t="s">
        <v>601</v>
      </c>
      <c r="C6" s="32">
        <v>10</v>
      </c>
      <c r="D6" s="32" t="s">
        <v>381</v>
      </c>
      <c r="E6" s="32">
        <v>0</v>
      </c>
      <c r="F6" s="32">
        <v>0</v>
      </c>
      <c r="G6" s="49">
        <v>0</v>
      </c>
      <c r="H6" s="49" t="s">
        <v>406</v>
      </c>
      <c r="I6" s="49" t="s">
        <v>406</v>
      </c>
      <c r="J6" s="49" t="s">
        <v>406</v>
      </c>
      <c r="K6" s="49">
        <v>0</v>
      </c>
      <c r="L6" s="49">
        <v>0</v>
      </c>
      <c r="M6" s="32" t="s">
        <v>386</v>
      </c>
      <c r="N6" s="32" t="s">
        <v>383</v>
      </c>
      <c r="O6" s="32">
        <v>500</v>
      </c>
      <c r="P6" s="32" t="s">
        <v>384</v>
      </c>
    </row>
    <row r="7" spans="1:16" ht="31.5" customHeight="1" thickBot="1" x14ac:dyDescent="0.35">
      <c r="A7" s="26" t="s">
        <v>395</v>
      </c>
      <c r="B7" s="26" t="s">
        <v>396</v>
      </c>
      <c r="C7" s="26">
        <v>0</v>
      </c>
      <c r="D7" s="26" t="s">
        <v>381</v>
      </c>
      <c r="E7" s="26">
        <v>1</v>
      </c>
      <c r="F7" s="26">
        <v>2</v>
      </c>
      <c r="G7" s="50" t="s">
        <v>608</v>
      </c>
      <c r="H7" s="50" t="s">
        <v>608</v>
      </c>
      <c r="I7" s="50" t="s">
        <v>407</v>
      </c>
      <c r="J7" s="50" t="s">
        <v>607</v>
      </c>
      <c r="K7" s="50" t="s">
        <v>408</v>
      </c>
      <c r="L7" s="50" t="s">
        <v>606</v>
      </c>
      <c r="M7" s="26" t="s">
        <v>392</v>
      </c>
      <c r="N7" s="26" t="s">
        <v>605</v>
      </c>
      <c r="O7" s="26" t="s">
        <v>397</v>
      </c>
      <c r="P7" s="26" t="s">
        <v>384</v>
      </c>
    </row>
    <row r="8" spans="1:16" ht="27" thickBot="1" x14ac:dyDescent="0.35">
      <c r="A8" s="32" t="s">
        <v>398</v>
      </c>
      <c r="B8" s="32" t="s">
        <v>380</v>
      </c>
      <c r="C8" s="32">
        <v>4</v>
      </c>
      <c r="D8" s="32" t="s">
        <v>399</v>
      </c>
      <c r="E8" s="32">
        <v>0</v>
      </c>
      <c r="F8" s="32">
        <v>1</v>
      </c>
      <c r="G8" s="49">
        <v>0</v>
      </c>
      <c r="H8" s="49" t="s">
        <v>406</v>
      </c>
      <c r="I8" s="49" t="s">
        <v>406</v>
      </c>
      <c r="J8" s="49" t="s">
        <v>599</v>
      </c>
      <c r="K8" s="49">
        <v>0</v>
      </c>
      <c r="L8" s="49">
        <v>0</v>
      </c>
      <c r="M8" s="32" t="s">
        <v>386</v>
      </c>
      <c r="N8" s="32" t="s">
        <v>605</v>
      </c>
      <c r="O8" s="32" t="s">
        <v>397</v>
      </c>
      <c r="P8" s="32" t="s">
        <v>384</v>
      </c>
    </row>
    <row r="9" spans="1:16" ht="27" thickBot="1" x14ac:dyDescent="0.35">
      <c r="A9" s="26" t="s">
        <v>400</v>
      </c>
      <c r="B9" s="26" t="s">
        <v>609</v>
      </c>
      <c r="C9" s="26">
        <v>12</v>
      </c>
      <c r="D9" s="26" t="s">
        <v>399</v>
      </c>
      <c r="E9" s="26">
        <v>0</v>
      </c>
      <c r="F9" s="50" t="s">
        <v>405</v>
      </c>
      <c r="G9" s="50" t="s">
        <v>406</v>
      </c>
      <c r="H9" s="50" t="s">
        <v>602</v>
      </c>
      <c r="I9" s="50" t="s">
        <v>602</v>
      </c>
      <c r="J9" s="50" t="s">
        <v>603</v>
      </c>
      <c r="K9" s="50" t="s">
        <v>404</v>
      </c>
      <c r="L9" s="50" t="s">
        <v>409</v>
      </c>
      <c r="M9" s="26" t="s">
        <v>401</v>
      </c>
      <c r="N9" s="26" t="s">
        <v>610</v>
      </c>
      <c r="O9" s="26" t="s">
        <v>402</v>
      </c>
      <c r="P9" s="26" t="s">
        <v>384</v>
      </c>
    </row>
    <row r="10" spans="1:16" ht="27" thickBot="1" x14ac:dyDescent="0.35">
      <c r="A10" s="32" t="s">
        <v>611</v>
      </c>
      <c r="B10" s="32" t="s">
        <v>391</v>
      </c>
      <c r="C10" s="32">
        <v>20</v>
      </c>
      <c r="D10" s="32" t="s">
        <v>381</v>
      </c>
      <c r="E10" s="32">
        <v>1</v>
      </c>
      <c r="F10" s="92" t="s">
        <v>404</v>
      </c>
      <c r="G10" s="93" t="s">
        <v>404</v>
      </c>
      <c r="H10" s="49" t="s">
        <v>604</v>
      </c>
      <c r="I10" s="49" t="s">
        <v>604</v>
      </c>
      <c r="J10" s="49" t="s">
        <v>608</v>
      </c>
      <c r="K10" s="49" t="s">
        <v>409</v>
      </c>
      <c r="L10" s="49" t="s">
        <v>405</v>
      </c>
      <c r="M10" s="32" t="s">
        <v>392</v>
      </c>
      <c r="N10" s="32" t="s">
        <v>612</v>
      </c>
      <c r="O10" s="32" t="s">
        <v>393</v>
      </c>
      <c r="P10" s="32" t="s">
        <v>384</v>
      </c>
    </row>
    <row r="11" spans="1:16" ht="27" thickBot="1" x14ac:dyDescent="0.35">
      <c r="A11" s="26" t="s">
        <v>613</v>
      </c>
      <c r="B11" s="26" t="s">
        <v>391</v>
      </c>
      <c r="C11" s="26">
        <v>0</v>
      </c>
      <c r="D11" s="26" t="s">
        <v>381</v>
      </c>
      <c r="E11" s="26">
        <v>0</v>
      </c>
      <c r="F11" s="26">
        <v>1</v>
      </c>
      <c r="G11" s="50" t="s">
        <v>404</v>
      </c>
      <c r="H11" s="50" t="s">
        <v>604</v>
      </c>
      <c r="I11" s="50" t="s">
        <v>604</v>
      </c>
      <c r="J11" s="50" t="s">
        <v>603</v>
      </c>
      <c r="K11" s="50" t="s">
        <v>408</v>
      </c>
      <c r="L11" s="50" t="s">
        <v>409</v>
      </c>
      <c r="M11" s="26" t="s">
        <v>392</v>
      </c>
      <c r="N11" s="26" t="s">
        <v>383</v>
      </c>
      <c r="O11" s="26" t="s">
        <v>614</v>
      </c>
      <c r="P11" s="26" t="s">
        <v>384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opLeftCell="A12" workbookViewId="0">
      <selection activeCell="G30" sqref="G30"/>
    </sheetView>
  </sheetViews>
  <sheetFormatPr defaultRowHeight="14.4" x14ac:dyDescent="0.3"/>
  <cols>
    <col min="1" max="1" width="40.88671875" customWidth="1"/>
    <col min="2" max="2" width="12.33203125" customWidth="1"/>
  </cols>
  <sheetData>
    <row r="1" spans="1:5" ht="15" customHeight="1" x14ac:dyDescent="0.3">
      <c r="A1" s="129" t="s">
        <v>424</v>
      </c>
      <c r="B1" s="129"/>
      <c r="C1" s="51"/>
      <c r="D1" s="51"/>
      <c r="E1" s="51"/>
    </row>
    <row r="2" spans="1:5" x14ac:dyDescent="0.3">
      <c r="A2" s="129"/>
      <c r="B2" s="129"/>
      <c r="C2" s="51"/>
      <c r="D2" s="51"/>
      <c r="E2" s="51"/>
    </row>
    <row r="3" spans="1:5" x14ac:dyDescent="0.3">
      <c r="A3" s="129"/>
      <c r="B3" s="129"/>
      <c r="C3" s="51"/>
      <c r="D3" s="51"/>
      <c r="E3" s="51"/>
    </row>
    <row r="4" spans="1:5" x14ac:dyDescent="0.3">
      <c r="A4" s="105" t="s">
        <v>628</v>
      </c>
      <c r="B4" s="52"/>
    </row>
    <row r="5" spans="1:5" x14ac:dyDescent="0.3">
      <c r="A5" s="106" t="s">
        <v>625</v>
      </c>
      <c r="B5" s="14"/>
    </row>
    <row r="6" spans="1:5" x14ac:dyDescent="0.3">
      <c r="A6" s="106" t="s">
        <v>626</v>
      </c>
      <c r="B6" s="14"/>
    </row>
    <row r="7" spans="1:5" x14ac:dyDescent="0.3">
      <c r="A7" s="106"/>
      <c r="B7" s="14"/>
    </row>
    <row r="8" spans="1:5" x14ac:dyDescent="0.3">
      <c r="A8" s="106" t="s">
        <v>627</v>
      </c>
      <c r="B8" s="14"/>
    </row>
    <row r="9" spans="1:5" x14ac:dyDescent="0.3">
      <c r="A9" s="106" t="s">
        <v>631</v>
      </c>
      <c r="B9" s="14"/>
    </row>
    <row r="10" spans="1:5" x14ac:dyDescent="0.3">
      <c r="A10" s="107" t="s">
        <v>637</v>
      </c>
      <c r="B10" s="14"/>
    </row>
    <row r="11" spans="1:5" x14ac:dyDescent="0.3">
      <c r="A11" s="107" t="s">
        <v>629</v>
      </c>
      <c r="B11" s="14"/>
    </row>
    <row r="12" spans="1:5" x14ac:dyDescent="0.3">
      <c r="A12" t="s">
        <v>441</v>
      </c>
      <c r="B12" s="14"/>
    </row>
    <row r="13" spans="1:5" x14ac:dyDescent="0.3">
      <c r="B13" s="14"/>
    </row>
    <row r="14" spans="1:5" x14ac:dyDescent="0.3">
      <c r="A14" t="s">
        <v>504</v>
      </c>
      <c r="B14" s="14"/>
    </row>
    <row r="15" spans="1:5" x14ac:dyDescent="0.3">
      <c r="A15" t="s">
        <v>539</v>
      </c>
      <c r="B15" s="14"/>
    </row>
    <row r="16" spans="1:5" x14ac:dyDescent="0.3">
      <c r="A16" t="s">
        <v>506</v>
      </c>
      <c r="B16" s="14"/>
    </row>
    <row r="17" spans="1:2" x14ac:dyDescent="0.3">
      <c r="A17" t="s">
        <v>574</v>
      </c>
      <c r="B17" s="14"/>
    </row>
    <row r="18" spans="1:2" x14ac:dyDescent="0.3">
      <c r="A18" t="s">
        <v>507</v>
      </c>
      <c r="B18" s="14"/>
    </row>
    <row r="19" spans="1:2" x14ac:dyDescent="0.3">
      <c r="A19" t="s">
        <v>508</v>
      </c>
      <c r="B19" s="14"/>
    </row>
    <row r="20" spans="1:2" x14ac:dyDescent="0.3">
      <c r="A20" t="s">
        <v>522</v>
      </c>
      <c r="B20" s="14"/>
    </row>
    <row r="21" spans="1:2" x14ac:dyDescent="0.3">
      <c r="A21" t="s">
        <v>632</v>
      </c>
      <c r="B21" s="14"/>
    </row>
    <row r="22" spans="1:2" x14ac:dyDescent="0.3">
      <c r="A22" t="s">
        <v>573</v>
      </c>
      <c r="B22" s="14"/>
    </row>
    <row r="23" spans="1:2" x14ac:dyDescent="0.3">
      <c r="A23" t="s">
        <v>575</v>
      </c>
      <c r="B23" s="14"/>
    </row>
    <row r="24" spans="1:2" x14ac:dyDescent="0.3">
      <c r="A24" t="s">
        <v>633</v>
      </c>
      <c r="B24" s="14"/>
    </row>
    <row r="25" spans="1:2" x14ac:dyDescent="0.3">
      <c r="A25" t="s">
        <v>634</v>
      </c>
      <c r="B25" s="14"/>
    </row>
    <row r="26" spans="1:2" x14ac:dyDescent="0.3">
      <c r="A26" t="s">
        <v>581</v>
      </c>
      <c r="B26" s="14"/>
    </row>
    <row r="27" spans="1:2" x14ac:dyDescent="0.3">
      <c r="A27" t="s">
        <v>590</v>
      </c>
      <c r="B27" s="14"/>
    </row>
    <row r="28" spans="1:2" x14ac:dyDescent="0.3">
      <c r="A28" t="s">
        <v>597</v>
      </c>
      <c r="B28" s="14"/>
    </row>
    <row r="29" spans="1:2" x14ac:dyDescent="0.3">
      <c r="A29" t="s">
        <v>598</v>
      </c>
      <c r="B29" s="14"/>
    </row>
    <row r="30" spans="1:2" x14ac:dyDescent="0.3">
      <c r="A30" t="s">
        <v>585</v>
      </c>
      <c r="B30" s="14"/>
    </row>
    <row r="31" spans="1:2" x14ac:dyDescent="0.3">
      <c r="A31" t="s">
        <v>635</v>
      </c>
      <c r="B31" s="14"/>
    </row>
    <row r="32" spans="1:2" x14ac:dyDescent="0.3">
      <c r="A32" t="s">
        <v>636</v>
      </c>
      <c r="B32" s="14"/>
    </row>
    <row r="33" spans="1:2" x14ac:dyDescent="0.3">
      <c r="A33" t="s">
        <v>638</v>
      </c>
      <c r="B33" s="14"/>
    </row>
    <row r="34" spans="1:2" x14ac:dyDescent="0.3">
      <c r="B34" s="14"/>
    </row>
    <row r="35" spans="1:2" x14ac:dyDescent="0.3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2025-09-29T06:17:04Z</dcterms:modified>
</cp:coreProperties>
</file>