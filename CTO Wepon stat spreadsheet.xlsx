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han\Documents\OpenXcom\mods\IDT_Counter_Terrorist_Operations\"/>
    </mc:Choice>
  </mc:AlternateContent>
  <xr:revisionPtr revIDLastSave="0" documentId="13_ncr:1_{543F4D48-48C5-4135-AE27-4F516F433596}" xr6:coauthVersionLast="47" xr6:coauthVersionMax="47" xr10:uidLastSave="{00000000-0000-0000-0000-000000000000}"/>
  <bookViews>
    <workbookView xWindow="-120" yWindow="-120" windowWidth="29040" windowHeight="15840" firstSheet="2" activeTab="13" xr2:uid="{5CCF0F11-6EA0-4BA3-9FDA-51D6C50FE267}"/>
  </bookViews>
  <sheets>
    <sheet name="Caliber" sheetId="1" r:id="rId1"/>
    <sheet name="Pistols" sheetId="2" r:id="rId2"/>
    <sheet name="SMGs" sheetId="3" r:id="rId3"/>
    <sheet name="Rifles" sheetId="4" r:id="rId4"/>
    <sheet name="Snipers" sheetId="5" r:id="rId5"/>
    <sheet name="Shotguns" sheetId="6" r:id="rId6"/>
    <sheet name="LMGs" sheetId="7" r:id="rId7"/>
    <sheet name="Explosives" sheetId="8" r:id="rId8"/>
    <sheet name="Other info" sheetId="9" r:id="rId9"/>
    <sheet name="Armor" sheetId="10" r:id="rId10"/>
    <sheet name="Units" sheetId="11" r:id="rId11"/>
    <sheet name="Enemy Weapons" sheetId="12" r:id="rId12"/>
    <sheet name="Missions" sheetId="13" r:id="rId13"/>
    <sheet name="Todo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5" i="4" l="1"/>
  <c r="X56" i="4"/>
  <c r="X17" i="3"/>
  <c r="X16" i="3"/>
  <c r="W17" i="3"/>
  <c r="X16" i="2"/>
  <c r="W16" i="2"/>
  <c r="X15" i="5"/>
  <c r="Y15" i="5"/>
  <c r="Y14" i="5"/>
  <c r="X14" i="5"/>
  <c r="W16" i="3"/>
  <c r="X15" i="2"/>
  <c r="W15" i="2"/>
  <c r="Y12" i="4"/>
  <c r="Y11" i="4"/>
  <c r="Y31" i="4"/>
  <c r="Y50" i="4"/>
  <c r="Y49" i="4"/>
  <c r="Y18" i="4"/>
  <c r="Y44" i="4"/>
  <c r="Y45" i="4"/>
  <c r="Y43" i="4"/>
  <c r="Y47" i="4"/>
  <c r="X12" i="4"/>
  <c r="X11" i="4"/>
  <c r="X31" i="4"/>
  <c r="X50" i="4"/>
  <c r="X49" i="4"/>
  <c r="X18" i="4"/>
  <c r="X44" i="4"/>
  <c r="X45" i="4"/>
  <c r="X43" i="4"/>
  <c r="X47" i="4"/>
  <c r="Z10" i="6"/>
  <c r="Z9" i="6"/>
  <c r="Z8" i="6"/>
  <c r="Z7" i="6"/>
  <c r="Z6" i="6"/>
  <c r="Z5" i="6"/>
  <c r="Z4" i="6"/>
  <c r="Z3" i="6"/>
  <c r="Y10" i="6"/>
  <c r="Y9" i="6"/>
  <c r="Y8" i="6"/>
  <c r="Y7" i="6"/>
  <c r="Y6" i="6"/>
  <c r="Y5" i="6"/>
  <c r="Y4" i="6"/>
  <c r="Y3" i="6"/>
  <c r="X10" i="6"/>
  <c r="X9" i="6"/>
  <c r="X8" i="6"/>
  <c r="X7" i="6"/>
  <c r="X6" i="6"/>
  <c r="X5" i="6"/>
  <c r="X4" i="6"/>
  <c r="X3" i="6"/>
  <c r="Z2" i="6"/>
  <c r="Y2" i="6"/>
  <c r="X2" i="6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3" i="5"/>
  <c r="Y12" i="5"/>
  <c r="Y11" i="5"/>
  <c r="Y10" i="5"/>
  <c r="Y9" i="5"/>
  <c r="Y8" i="5"/>
  <c r="Y7" i="5"/>
  <c r="Y6" i="5"/>
  <c r="Y5" i="5"/>
  <c r="Y4" i="5"/>
  <c r="Y3" i="5"/>
  <c r="Y2" i="5"/>
  <c r="X2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3" i="5"/>
  <c r="X12" i="5"/>
  <c r="X11" i="5"/>
  <c r="X10" i="5"/>
  <c r="X9" i="5"/>
  <c r="X8" i="5"/>
  <c r="X7" i="5"/>
  <c r="X6" i="5"/>
  <c r="X5" i="5"/>
  <c r="X4" i="5"/>
  <c r="X3" i="5"/>
  <c r="Y20" i="4"/>
  <c r="Y48" i="4"/>
  <c r="Y46" i="4"/>
  <c r="Y17" i="4"/>
  <c r="Y16" i="4"/>
  <c r="Y25" i="4"/>
  <c r="Y24" i="4"/>
  <c r="Y26" i="4"/>
  <c r="Y23" i="4"/>
  <c r="Y21" i="4"/>
  <c r="X48" i="4"/>
  <c r="X46" i="4"/>
  <c r="X17" i="4"/>
  <c r="X16" i="4"/>
  <c r="X25" i="4"/>
  <c r="X24" i="4"/>
  <c r="X26" i="4"/>
  <c r="X23" i="4"/>
  <c r="X21" i="4"/>
  <c r="X20" i="4"/>
  <c r="X39" i="4"/>
  <c r="Y14" i="4"/>
  <c r="Y13" i="4"/>
  <c r="Y6" i="4"/>
  <c r="Y5" i="4"/>
  <c r="Y4" i="4"/>
  <c r="Y3" i="4"/>
  <c r="Y40" i="4"/>
  <c r="Y39" i="4"/>
  <c r="Y41" i="4"/>
  <c r="X14" i="4"/>
  <c r="X13" i="4"/>
  <c r="X6" i="4"/>
  <c r="X5" i="4"/>
  <c r="X4" i="4"/>
  <c r="X3" i="4"/>
  <c r="X40" i="4"/>
  <c r="X41" i="4"/>
  <c r="Y38" i="4"/>
  <c r="Y36" i="4"/>
  <c r="Y35" i="4"/>
  <c r="Y37" i="4"/>
  <c r="Y34" i="4"/>
  <c r="Y54" i="4"/>
  <c r="Y53" i="4"/>
  <c r="Y52" i="4"/>
  <c r="X38" i="4"/>
  <c r="X36" i="4"/>
  <c r="X35" i="4"/>
  <c r="X37" i="4"/>
  <c r="X34" i="4"/>
  <c r="X55" i="4"/>
  <c r="X54" i="4"/>
  <c r="X53" i="4"/>
  <c r="X52" i="4"/>
  <c r="Y51" i="4"/>
  <c r="X51" i="4"/>
  <c r="W14" i="3"/>
  <c r="X3" i="3"/>
  <c r="W3" i="3"/>
  <c r="X15" i="3"/>
  <c r="W15" i="3"/>
  <c r="X10" i="3"/>
  <c r="W10" i="3"/>
  <c r="X7" i="3"/>
  <c r="W7" i="3"/>
  <c r="X13" i="3"/>
  <c r="W13" i="3"/>
  <c r="X11" i="3"/>
  <c r="W11" i="3"/>
  <c r="X12" i="3"/>
  <c r="W12" i="3"/>
  <c r="X5" i="3"/>
  <c r="W5" i="3"/>
  <c r="X4" i="3"/>
  <c r="W4" i="3"/>
  <c r="X2" i="3"/>
  <c r="W2" i="3"/>
  <c r="X8" i="3"/>
  <c r="W8" i="3"/>
  <c r="X14" i="3"/>
  <c r="X13" i="2"/>
  <c r="X6" i="2"/>
  <c r="X4" i="2"/>
  <c r="X7" i="2"/>
  <c r="W13" i="2"/>
  <c r="W6" i="2"/>
  <c r="W4" i="2"/>
  <c r="W7" i="2"/>
  <c r="X8" i="2"/>
  <c r="X9" i="2"/>
  <c r="X2" i="2"/>
  <c r="X10" i="2"/>
  <c r="X12" i="2"/>
  <c r="X14" i="2"/>
  <c r="X11" i="2"/>
  <c r="X5" i="2"/>
  <c r="W9" i="2"/>
  <c r="W8" i="2"/>
  <c r="W2" i="2"/>
  <c r="W10" i="2"/>
  <c r="W12" i="2"/>
  <c r="W14" i="2"/>
  <c r="W11" i="2"/>
  <c r="W5" i="2"/>
  <c r="X2" i="4" a="1"/>
  <c r="X6" i="3" a="1"/>
  <c r="Z12" i="7" a="1"/>
  <c r="Y14" i="7" a="1"/>
  <c r="Z12" i="6" a="1"/>
  <c r="X14" i="8" a="1"/>
  <c r="X10" i="4" a="1"/>
  <c r="X4" i="8" a="1"/>
  <c r="W6" i="3" a="1"/>
  <c r="Z5" i="7" a="1"/>
  <c r="Z10" i="7" a="1"/>
  <c r="X15" i="4" a="1"/>
  <c r="X57" i="4" a="1"/>
  <c r="Z4" i="7" a="1"/>
  <c r="Y15" i="8" a="1"/>
  <c r="Z2" i="7" a="1"/>
  <c r="Y15" i="7" a="1"/>
  <c r="X29" i="4" a="1"/>
  <c r="X7" i="4" a="1"/>
  <c r="Y22" i="4" a="1"/>
  <c r="Y12" i="7" a="1"/>
  <c r="Y5" i="7" a="1"/>
  <c r="Y10" i="8" a="1"/>
  <c r="Y7" i="7" a="1"/>
  <c r="Y56" i="4" a="1"/>
  <c r="X13" i="8" a="1"/>
  <c r="Y57" i="4" a="1"/>
  <c r="Y42" i="4" a="1"/>
  <c r="X15" i="8" a="1"/>
  <c r="X42" i="4" a="1"/>
  <c r="Z14" i="7" a="1"/>
  <c r="Y9" i="8" a="1"/>
  <c r="Y7" i="4" a="1"/>
  <c r="Y15" i="4" a="1"/>
  <c r="X9" i="8" a="1"/>
  <c r="Y2" i="7" a="1"/>
  <c r="Y11" i="7" a="1"/>
  <c r="X11" i="8" a="1"/>
  <c r="Y4" i="7" a="1"/>
  <c r="X9" i="4" a="1"/>
  <c r="Y28" i="4" a="1"/>
  <c r="Z7" i="7" a="1"/>
  <c r="X30" i="4" a="1"/>
  <c r="X3" i="2" a="1"/>
  <c r="X27" i="4" a="1"/>
  <c r="Y12" i="8" a="1"/>
  <c r="X10" i="8" a="1"/>
  <c r="Z6" i="7" a="1"/>
  <c r="Y27" i="4" a="1"/>
  <c r="X8" i="4" a="1"/>
  <c r="X12" i="6" a="1"/>
  <c r="X2" i="8" a="1"/>
  <c r="X32" i="4" a="1"/>
  <c r="Y2" i="4" a="1"/>
  <c r="X9" i="3" a="1"/>
  <c r="Y8" i="7" a="1"/>
  <c r="Y3" i="7" a="1"/>
  <c r="Z3" i="7" a="1"/>
  <c r="Y32" i="4" a="1"/>
  <c r="Y30" i="4" a="1"/>
  <c r="Y8" i="4" a="1"/>
  <c r="Z11" i="7" a="1"/>
  <c r="Y13" i="8" a="1"/>
  <c r="Y7" i="8" a="1"/>
  <c r="Y6" i="8" a="1"/>
  <c r="Y4" i="8" a="1"/>
  <c r="X33" i="4" a="1"/>
  <c r="Y10" i="7" a="1"/>
  <c r="X7" i="8" a="1"/>
  <c r="W9" i="3" a="1"/>
  <c r="X12" i="8" a="1"/>
  <c r="X5" i="8" a="1"/>
  <c r="X3" i="8" a="1"/>
  <c r="X8" i="8" a="1"/>
  <c r="Y19" i="4" a="1"/>
  <c r="Y11" i="8" a="1"/>
  <c r="X11" i="6" a="1"/>
  <c r="Y14" i="8" a="1"/>
  <c r="Y2" i="8" a="1"/>
  <c r="Y33" i="4" a="1"/>
  <c r="Z9" i="7" a="1"/>
  <c r="X6" i="8" a="1"/>
  <c r="Y6" i="7" a="1"/>
  <c r="Z15" i="7" a="1"/>
  <c r="Y9" i="7" a="1"/>
  <c r="Y11" i="6" a="1"/>
  <c r="Y16" i="8" a="1"/>
  <c r="Y29" i="4" a="1"/>
  <c r="Y5" i="8" a="1"/>
  <c r="W3" i="2" a="1"/>
  <c r="Y3" i="8" a="1"/>
  <c r="X28" i="4" a="1"/>
  <c r="Z13" i="7" a="1"/>
  <c r="X16" i="8" a="1"/>
  <c r="Y13" i="7" a="1"/>
  <c r="Y10" i="4" a="1"/>
  <c r="Y9" i="4" a="1"/>
  <c r="Z11" i="6" a="1"/>
  <c r="X19" i="4" a="1"/>
  <c r="X22" i="4" a="1"/>
  <c r="Y12" i="6" a="1"/>
  <c r="Y8" i="8" a="1"/>
  <c r="Z8" i="7" a="1"/>
  <c r="Y56" i="4" l="1"/>
  <c r="Z12" i="6"/>
  <c r="Y12" i="6"/>
  <c r="X12" i="6"/>
  <c r="Z15" i="7"/>
  <c r="Z14" i="7"/>
  <c r="Z13" i="7"/>
  <c r="Z12" i="7"/>
  <c r="Z11" i="7"/>
  <c r="Y15" i="7"/>
  <c r="Y14" i="7"/>
  <c r="Y13" i="7"/>
  <c r="Y12" i="7"/>
  <c r="Y11" i="7"/>
  <c r="Z10" i="7"/>
  <c r="Y10" i="7"/>
  <c r="Y7" i="4"/>
  <c r="X7" i="4"/>
  <c r="Y8" i="8"/>
  <c r="X8" i="8"/>
  <c r="Y10" i="4"/>
  <c r="X10" i="4"/>
  <c r="Y9" i="4"/>
  <c r="X9" i="4"/>
  <c r="X6" i="3"/>
  <c r="W6" i="3"/>
  <c r="Z11" i="6"/>
  <c r="Y11" i="6"/>
  <c r="X11" i="6"/>
  <c r="Z9" i="7"/>
  <c r="Y9" i="7"/>
  <c r="X9" i="3"/>
  <c r="W9" i="3"/>
  <c r="Y30" i="4"/>
  <c r="X30" i="4"/>
  <c r="X57" i="4"/>
  <c r="Y29" i="4"/>
  <c r="X29" i="4"/>
  <c r="Y22" i="4"/>
  <c r="Y33" i="4"/>
  <c r="Y32" i="4"/>
  <c r="X32" i="4"/>
  <c r="X33" i="4"/>
  <c r="X22" i="4"/>
  <c r="X3" i="2"/>
  <c r="W3" i="2"/>
  <c r="Y16" i="8"/>
  <c r="Y15" i="8"/>
  <c r="Y14" i="8"/>
  <c r="Y13" i="8"/>
  <c r="Y12" i="8"/>
  <c r="Y11" i="8"/>
  <c r="Y10" i="8"/>
  <c r="Y9" i="8"/>
  <c r="Y7" i="8"/>
  <c r="Y6" i="8"/>
  <c r="Y5" i="8"/>
  <c r="Y4" i="8"/>
  <c r="Y3" i="8"/>
  <c r="Y2" i="8"/>
  <c r="X16" i="8"/>
  <c r="X15" i="8"/>
  <c r="X14" i="8"/>
  <c r="X13" i="8"/>
  <c r="X12" i="8"/>
  <c r="X11" i="8"/>
  <c r="X10" i="8"/>
  <c r="X9" i="8"/>
  <c r="X7" i="8"/>
  <c r="X6" i="8"/>
  <c r="X5" i="8"/>
  <c r="X4" i="8"/>
  <c r="X3" i="8"/>
  <c r="X2" i="8"/>
  <c r="Z7" i="7"/>
  <c r="Z4" i="7"/>
  <c r="Z8" i="7"/>
  <c r="Z5" i="7"/>
  <c r="Z3" i="7"/>
  <c r="Y7" i="7"/>
  <c r="Y4" i="7"/>
  <c r="Y8" i="7"/>
  <c r="Y5" i="7"/>
  <c r="Y3" i="7"/>
  <c r="Y6" i="7"/>
  <c r="Y2" i="7"/>
  <c r="Z6" i="7"/>
  <c r="Z2" i="7"/>
  <c r="Y28" i="4"/>
  <c r="Y27" i="4"/>
  <c r="X28" i="4"/>
  <c r="X27" i="4"/>
  <c r="X19" i="4"/>
  <c r="X15" i="4"/>
  <c r="X2" i="4"/>
  <c r="X42" i="4"/>
  <c r="X8" i="4"/>
  <c r="Y57" i="4"/>
  <c r="Y19" i="4"/>
  <c r="Y15" i="4"/>
  <c r="Y2" i="4"/>
  <c r="Y42" i="4"/>
  <c r="Y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Ethan McLaughlin</author>
  </authors>
  <commentList>
    <comment ref="T1" authorId="0" shapeId="0" xr:uid="{2BD37C75-D1E9-4229-BF01-F9B4377D63A0}">
      <text>
        <r>
          <rPr>
            <b/>
            <sz val="9"/>
            <color indexed="81"/>
            <rFont val="Tahoma"/>
            <charset val="1"/>
          </rPr>
          <t>For every 1% of Missing stamina, accuracy multiplyer bonus is decreased by (1 * mvmt pen.) / 100.
e.g 85 mvmnt pen = -0.85% acc multiplier per 1% stamina missing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Ethan McLaughlin</author>
  </authors>
  <commentList>
    <comment ref="A1" authorId="0" shapeId="0" xr:uid="{92CD7A6C-E2FA-4A7C-B424-00C3C141C859}">
      <text>
        <r>
          <rPr>
            <b/>
            <sz val="9"/>
            <color indexed="81"/>
            <rFont val="Tahoma"/>
            <family val="2"/>
          </rPr>
          <t>Data on this page needs to be verified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<sst xmlns="http://schemas.openxmlformats.org/spreadsheetml/2006/main" count="1817" uniqueCount="600">
  <si>
    <t>Name</t>
  </si>
  <si>
    <t>Pellets</t>
  </si>
  <si>
    <t>Power</t>
  </si>
  <si>
    <t>SG Spread</t>
  </si>
  <si>
    <t>ToArmorPre</t>
  </si>
  <si>
    <t>Radius</t>
  </si>
  <si>
    <t>Random type</t>
  </si>
  <si>
    <t>Damage type</t>
  </si>
  <si>
    <t>Taser</t>
  </si>
  <si>
    <t>n/a</t>
  </si>
  <si>
    <t>38 Special</t>
  </si>
  <si>
    <t>Makarov</t>
  </si>
  <si>
    <t>9mm Pistol</t>
  </si>
  <si>
    <t>HK 4.6x30mm</t>
  </si>
  <si>
    <t>45 ACP</t>
  </si>
  <si>
    <t>5.7mm</t>
  </si>
  <si>
    <t>9mm gyurza</t>
  </si>
  <si>
    <t>Pistol ammo</t>
  </si>
  <si>
    <t>4.73 Caseless</t>
  </si>
  <si>
    <t>5.45mm</t>
  </si>
  <si>
    <t>5.56mm NATO</t>
  </si>
  <si>
    <t>Notes:</t>
  </si>
  <si>
    <t>Rifle ammo</t>
  </si>
  <si>
    <t>22 Long Rifle</t>
  </si>
  <si>
    <t>Stuns</t>
  </si>
  <si>
    <t>7.62mm Soviet</t>
  </si>
  <si>
    <t>7.62mm NATO</t>
  </si>
  <si>
    <t>7.62mm Soviet MMR</t>
  </si>
  <si>
    <t>9.39mm</t>
  </si>
  <si>
    <t>.50 BMG</t>
  </si>
  <si>
    <t>.338 Lapua</t>
  </si>
  <si>
    <t>12.7mm</t>
  </si>
  <si>
    <t>Shotgun ammo</t>
  </si>
  <si>
    <t>12G Buckshot</t>
  </si>
  <si>
    <t>12G Slug</t>
  </si>
  <si>
    <t>12G Non-lethal</t>
  </si>
  <si>
    <t>Cant wound, power reduces over range.</t>
  </si>
  <si>
    <t>Shrapnel-25 (4G)</t>
  </si>
  <si>
    <t>Barricade slug (4G)</t>
  </si>
  <si>
    <t>Volna-R Non-lethal (4G)</t>
  </si>
  <si>
    <t>Explosive</t>
  </si>
  <si>
    <t>40MM Frag</t>
  </si>
  <si>
    <t>Arcing.</t>
  </si>
  <si>
    <t>40MM Smoke</t>
  </si>
  <si>
    <t>Arcing + Smoke.</t>
  </si>
  <si>
    <t>40MM Non-lethal</t>
  </si>
  <si>
    <t>Arcing, Cant wound, power reduces over range.</t>
  </si>
  <si>
    <t>APAV40</t>
  </si>
  <si>
    <t>Arcing, No armor damage at all.</t>
  </si>
  <si>
    <t>Carl Gustaf HEAT</t>
  </si>
  <si>
    <t>Carl Gustaf HE</t>
  </si>
  <si>
    <t>RPG HEAT</t>
  </si>
  <si>
    <t>RPG 29 HEAT</t>
  </si>
  <si>
    <t>RPG Thermobaric</t>
  </si>
  <si>
    <t>RandomType</t>
  </si>
  <si>
    <t>DamageType</t>
  </si>
  <si>
    <t>.</t>
  </si>
  <si>
    <t>..</t>
  </si>
  <si>
    <t>weight</t>
  </si>
  <si>
    <t>size</t>
  </si>
  <si>
    <t>two handed</t>
  </si>
  <si>
    <t>One hand pen.</t>
  </si>
  <si>
    <t>kneel bouns</t>
  </si>
  <si>
    <t>tuAimed</t>
  </si>
  <si>
    <t>tuSnap</t>
  </si>
  <si>
    <t>tuAuto</t>
  </si>
  <si>
    <t>accAimed</t>
  </si>
  <si>
    <t>accSnap</t>
  </si>
  <si>
    <t>accAuto</t>
  </si>
  <si>
    <t>rangeAimed</t>
  </si>
  <si>
    <t>rangeSnap</t>
  </si>
  <si>
    <t>rangeAuto</t>
  </si>
  <si>
    <t>maxRange</t>
  </si>
  <si>
    <t>minRange</t>
  </si>
  <si>
    <t>Cost</t>
  </si>
  <si>
    <t>1x2</t>
  </si>
  <si>
    <t>N/A</t>
  </si>
  <si>
    <t>P226</t>
  </si>
  <si>
    <t>Mag sizes</t>
  </si>
  <si>
    <t>[10,20]</t>
  </si>
  <si>
    <t>Caliber</t>
  </si>
  <si>
    <t>toArmorPre</t>
  </si>
  <si>
    <t>[1]</t>
  </si>
  <si>
    <t>Glock 17</t>
  </si>
  <si>
    <t>[10,20,30]</t>
  </si>
  <si>
    <t>Glock 18</t>
  </si>
  <si>
    <t>Aimed shots</t>
  </si>
  <si>
    <t>snap shots</t>
  </si>
  <si>
    <t>auto shots</t>
  </si>
  <si>
    <t>Glock 18 (stock)</t>
  </si>
  <si>
    <t>1x3</t>
  </si>
  <si>
    <t>M1911</t>
  </si>
  <si>
    <t>[7]</t>
  </si>
  <si>
    <t>MK23</t>
  </si>
  <si>
    <t>[12]</t>
  </si>
  <si>
    <t>9mm Makarov</t>
  </si>
  <si>
    <t>[10]</t>
  </si>
  <si>
    <t>Five Seven</t>
  </si>
  <si>
    <t>[20]</t>
  </si>
  <si>
    <t>Manhurin</t>
  </si>
  <si>
    <t>1x1</t>
  </si>
  <si>
    <t>[6]</t>
  </si>
  <si>
    <t>Vektor</t>
  </si>
  <si>
    <t>Stetckin</t>
  </si>
  <si>
    <t>Tec 9</t>
  </si>
  <si>
    <t>[10,20,30,40]</t>
  </si>
  <si>
    <t>MP5SD</t>
  </si>
  <si>
    <t>MPX</t>
  </si>
  <si>
    <t>MP7</t>
  </si>
  <si>
    <t>[50]</t>
  </si>
  <si>
    <t>P90</t>
  </si>
  <si>
    <t>Skorpion</t>
  </si>
  <si>
    <t>Uzi</t>
  </si>
  <si>
    <t>[20,30,40]</t>
  </si>
  <si>
    <t>UMP</t>
  </si>
  <si>
    <t>[25]</t>
  </si>
  <si>
    <t>Vityaz</t>
  </si>
  <si>
    <t>[30]</t>
  </si>
  <si>
    <t>Versek</t>
  </si>
  <si>
    <t>[20,30]</t>
  </si>
  <si>
    <t>5.56mm</t>
  </si>
  <si>
    <t>Tavor</t>
  </si>
  <si>
    <t>Tavor (m203)</t>
  </si>
  <si>
    <t>Auto</t>
  </si>
  <si>
    <t>GL/UBS firemode</t>
  </si>
  <si>
    <t>[30][1]</t>
  </si>
  <si>
    <t>Tavor (Scoped)</t>
  </si>
  <si>
    <t>Tavor 95x</t>
  </si>
  <si>
    <t>Tavor 95x (Scoped)</t>
  </si>
  <si>
    <t>[30][5]</t>
  </si>
  <si>
    <t>M4A1</t>
  </si>
  <si>
    <t>M4A1 (Sopmod)</t>
  </si>
  <si>
    <t>M4A1 (M320)</t>
  </si>
  <si>
    <t>AK12</t>
  </si>
  <si>
    <t>[30,45,60]</t>
  </si>
  <si>
    <t>AK12 (Scoped)</t>
  </si>
  <si>
    <t>AK15</t>
  </si>
  <si>
    <t>[30,40,75]</t>
  </si>
  <si>
    <t>AK15 (Scoped)</t>
  </si>
  <si>
    <t>Famas</t>
  </si>
  <si>
    <t>Can load APAV40 Rifle Grenade</t>
  </si>
  <si>
    <t>Famas (Scoped)</t>
  </si>
  <si>
    <t>G36</t>
  </si>
  <si>
    <t>G36 (AG)</t>
  </si>
  <si>
    <t>HK416</t>
  </si>
  <si>
    <t>HK416 (Sopmod)</t>
  </si>
  <si>
    <t>HK416 (M320)</t>
  </si>
  <si>
    <t>FX-05</t>
  </si>
  <si>
    <t>Hunting Rifle</t>
  </si>
  <si>
    <t>Block both hands</t>
  </si>
  <si>
    <t>kneel bonus</t>
  </si>
  <si>
    <t>SKS</t>
  </si>
  <si>
    <t>7.62mm Nato</t>
  </si>
  <si>
    <t>[5,10,20]</t>
  </si>
  <si>
    <t>MSG 90</t>
  </si>
  <si>
    <t>PSG 1</t>
  </si>
  <si>
    <t>[5,20]</t>
  </si>
  <si>
    <t>VSS</t>
  </si>
  <si>
    <t>Dragunov</t>
  </si>
  <si>
    <t>OSV 96</t>
  </si>
  <si>
    <t>[5]</t>
  </si>
  <si>
    <t>Sako TRG</t>
  </si>
  <si>
    <t>AWP</t>
  </si>
  <si>
    <t>AWM</t>
  </si>
  <si>
    <t>M24 SWS</t>
  </si>
  <si>
    <t>M82</t>
  </si>
  <si>
    <t>[5,10]</t>
  </si>
  <si>
    <t>Choke</t>
  </si>
  <si>
    <t>Double Barrel</t>
  </si>
  <si>
    <t>Mk 18 Mod 0</t>
  </si>
  <si>
    <t>Mk 18 Mod 0 (Sopmod)</t>
  </si>
  <si>
    <t>Mk 18 Mod 0 (M320)</t>
  </si>
  <si>
    <t>M4A1 (MASS)</t>
  </si>
  <si>
    <t>Mk 18 Mod 0 (MASS)</t>
  </si>
  <si>
    <t>Hk416 (MASS)</t>
  </si>
  <si>
    <t>[2]</t>
  </si>
  <si>
    <t>Serbu</t>
  </si>
  <si>
    <t>Remington 870</t>
  </si>
  <si>
    <t>[8]</t>
  </si>
  <si>
    <t>NL &amp; Slug ammo</t>
  </si>
  <si>
    <t>Spas-12</t>
  </si>
  <si>
    <t>KS-23</t>
  </si>
  <si>
    <t>[3]</t>
  </si>
  <si>
    <t>Origin 12</t>
  </si>
  <si>
    <t>[8,20,30]</t>
  </si>
  <si>
    <t>NL &amp; Slug ammo (8rnd only)</t>
  </si>
  <si>
    <t>AA-12</t>
  </si>
  <si>
    <t>USAS 12</t>
  </si>
  <si>
    <t>Saiga 12</t>
  </si>
  <si>
    <t>FX-05 (Scoped)</t>
  </si>
  <si>
    <t>Scar L</t>
  </si>
  <si>
    <t>Scar L (Sopmod)</t>
  </si>
  <si>
    <t>Scar L (GL)</t>
  </si>
  <si>
    <t>Scar H</t>
  </si>
  <si>
    <t>Scar H (Sopmod)</t>
  </si>
  <si>
    <t>Scar H (GL)</t>
  </si>
  <si>
    <t>[20][1]</t>
  </si>
  <si>
    <t>G11</t>
  </si>
  <si>
    <t>SR 3</t>
  </si>
  <si>
    <t>SR 3 (One handed)</t>
  </si>
  <si>
    <t>M16A2</t>
  </si>
  <si>
    <t>AR 18</t>
  </si>
  <si>
    <t>AR 180</t>
  </si>
  <si>
    <t>AKM</t>
  </si>
  <si>
    <t>RK 62</t>
  </si>
  <si>
    <t>AK 74</t>
  </si>
  <si>
    <t>FN FAL</t>
  </si>
  <si>
    <t>G3</t>
  </si>
  <si>
    <t>[5,20,10]</t>
  </si>
  <si>
    <t>HK417</t>
  </si>
  <si>
    <t>HK417 (Scoped)</t>
  </si>
  <si>
    <t>M60</t>
  </si>
  <si>
    <t>2x3</t>
  </si>
  <si>
    <t>[50,100]</t>
  </si>
  <si>
    <t>[30,50,100]</t>
  </si>
  <si>
    <t>FN Minimi</t>
  </si>
  <si>
    <t>M249 Para</t>
  </si>
  <si>
    <t>MK 48</t>
  </si>
  <si>
    <t>RPK 74</t>
  </si>
  <si>
    <t>[30,45]</t>
  </si>
  <si>
    <t>PKP Pecheneg</t>
  </si>
  <si>
    <t>7.62mm Soviet mmr</t>
  </si>
  <si>
    <t>Negev</t>
  </si>
  <si>
    <t>M320</t>
  </si>
  <si>
    <t>Smoke + NL</t>
  </si>
  <si>
    <t>MGL</t>
  </si>
  <si>
    <t>2x2</t>
  </si>
  <si>
    <t>[1,3,6]</t>
  </si>
  <si>
    <t>Smoke + NL (1x)</t>
  </si>
  <si>
    <t>GM 94</t>
  </si>
  <si>
    <t>[1,3]</t>
  </si>
  <si>
    <t>HE Rocket</t>
  </si>
  <si>
    <t>Carl Gustaf</t>
  </si>
  <si>
    <t>RPG 7</t>
  </si>
  <si>
    <t>RPG 29</t>
  </si>
  <si>
    <t>Thermo Rocket</t>
  </si>
  <si>
    <t>Type</t>
  </si>
  <si>
    <t>Armor</t>
  </si>
  <si>
    <t>Stats</t>
  </si>
  <si>
    <t>Hazard
Resistance</t>
  </si>
  <si>
    <t>Explosion
Resistance</t>
  </si>
  <si>
    <t>DayCamo
NightCamo</t>
  </si>
  <si>
    <t>DayVision
NightVision</t>
  </si>
  <si>
    <t>AntiDayCamo
AntiNightCamo</t>
  </si>
  <si>
    <t>HeatVision</t>
  </si>
  <si>
    <t>Front</t>
  </si>
  <si>
    <t>Side</t>
  </si>
  <si>
    <t>Rear</t>
  </si>
  <si>
    <t>Under</t>
  </si>
  <si>
    <t>Tu</t>
  </si>
  <si>
    <t>Stamina</t>
  </si>
  <si>
    <t>Bravery</t>
  </si>
  <si>
    <t>Firing</t>
  </si>
  <si>
    <t>Strenght</t>
  </si>
  <si>
    <t>Default</t>
  </si>
  <si>
    <t>0
0</t>
  </si>
  <si>
    <t>30
9</t>
  </si>
  <si>
    <t>Default Backpack</t>
  </si>
  <si>
    <t>Default Kevlar</t>
  </si>
  <si>
    <t>Default Kevlar Backpack</t>
  </si>
  <si>
    <t>Default Kevlar NV</t>
  </si>
  <si>
    <t>30
18</t>
  </si>
  <si>
    <t>Default Kevlar Backpack NV</t>
  </si>
  <si>
    <t>Default Kevlar ADVNV</t>
  </si>
  <si>
    <t>30
25</t>
  </si>
  <si>
    <t>25
30</t>
  </si>
  <si>
    <t>Default Kevlar Backpack ADVNV</t>
  </si>
  <si>
    <t>Camo</t>
  </si>
  <si>
    <t>8
4</t>
  </si>
  <si>
    <t>Camo Backpack</t>
  </si>
  <si>
    <t>Camo Kevlar</t>
  </si>
  <si>
    <t>Camo Kevlar Backpack</t>
  </si>
  <si>
    <t>Camo Kevlar NV</t>
  </si>
  <si>
    <t>Camo Kevlar Backpack NV</t>
  </si>
  <si>
    <t>Camo Kevlar ADVNV</t>
  </si>
  <si>
    <t>Camo Kevlar Backpack ADVNV</t>
  </si>
  <si>
    <t>Gas</t>
  </si>
  <si>
    <t>26
5</t>
  </si>
  <si>
    <t>Gas Backpack</t>
  </si>
  <si>
    <t>Gas Kevlar</t>
  </si>
  <si>
    <t>Gas Kevlar Backpack</t>
  </si>
  <si>
    <t>Gas Kevlar NV</t>
  </si>
  <si>
    <t>26
18</t>
  </si>
  <si>
    <t>Gas Kevlar Backpack NV</t>
  </si>
  <si>
    <t>Gas Kevlar ADVNV</t>
  </si>
  <si>
    <t>26
25</t>
  </si>
  <si>
    <t>Gas Kevlar Backpack ADVNV</t>
  </si>
  <si>
    <t>Heavy</t>
  </si>
  <si>
    <t>Heavy NV</t>
  </si>
  <si>
    <t>Heavy ADVNV</t>
  </si>
  <si>
    <t>EOD</t>
  </si>
  <si>
    <t>Default Kevlar Riot</t>
  </si>
  <si>
    <t>Default Kevlar Riot Backpack</t>
  </si>
  <si>
    <t>Health</t>
  </si>
  <si>
    <t>Operator</t>
  </si>
  <si>
    <t>70-80
100</t>
  </si>
  <si>
    <t>60-80
110</t>
  </si>
  <si>
    <t>40-50
60</t>
  </si>
  <si>
    <t>Commander</t>
  </si>
  <si>
    <t>Leader</t>
  </si>
  <si>
    <t>Reactions</t>
  </si>
  <si>
    <t>Throwing</t>
  </si>
  <si>
    <t>Melee</t>
  </si>
  <si>
    <t>Point Value</t>
  </si>
  <si>
    <t>Aggression
Intelligence</t>
  </si>
  <si>
    <t>Spotter
Sniper</t>
  </si>
  <si>
    <t>Recruit Cost</t>
  </si>
  <si>
    <t>Salary
+ Per Rank</t>
  </si>
  <si>
    <t>60-70
100</t>
  </si>
  <si>
    <t>50-70
100</t>
  </si>
  <si>
    <t>70-80
110</t>
  </si>
  <si>
    <t>60-70
80</t>
  </si>
  <si>
    <t>55-65
120</t>
  </si>
  <si>
    <t>1
3</t>
  </si>
  <si>
    <t>3
1</t>
  </si>
  <si>
    <t>SAW</t>
  </si>
  <si>
    <t>1
2</t>
  </si>
  <si>
    <t>Rifleman</t>
  </si>
  <si>
    <t>1
1</t>
  </si>
  <si>
    <t>Raider</t>
  </si>
  <si>
    <t>2
1</t>
  </si>
  <si>
    <t>Grunt</t>
  </si>
  <si>
    <t>0
1</t>
  </si>
  <si>
    <t>Grenadier</t>
  </si>
  <si>
    <t>Sniper</t>
  </si>
  <si>
    <t>0
2</t>
  </si>
  <si>
    <t>2
3</t>
  </si>
  <si>
    <t>1
5</t>
  </si>
  <si>
    <t>5
3</t>
  </si>
  <si>
    <t>Shield</t>
  </si>
  <si>
    <t>3
0</t>
  </si>
  <si>
    <t>3
2</t>
  </si>
  <si>
    <t>0
5</t>
  </si>
  <si>
    <t>3
5</t>
  </si>
  <si>
    <t>Faction</t>
  </si>
  <si>
    <t>Player</t>
  </si>
  <si>
    <t>European/American
Generic</t>
  </si>
  <si>
    <t>Private Security</t>
  </si>
  <si>
    <t>Rank</t>
  </si>
  <si>
    <t>Unit</t>
  </si>
  <si>
    <t>Region</t>
  </si>
  <si>
    <t>Tier 1</t>
  </si>
  <si>
    <t>Tier 2</t>
  </si>
  <si>
    <t>Tier 3</t>
  </si>
  <si>
    <t>Eastern Europe</t>
  </si>
  <si>
    <t>SR3</t>
  </si>
  <si>
    <t>Vest (30)</t>
  </si>
  <si>
    <t>Western Europe</t>
  </si>
  <si>
    <t>North America</t>
  </si>
  <si>
    <t>M4 Carbine</t>
  </si>
  <si>
    <t>AK-74</t>
  </si>
  <si>
    <t>M16</t>
  </si>
  <si>
    <t>Engineer</t>
  </si>
  <si>
    <t>None</t>
  </si>
  <si>
    <t>Medic</t>
  </si>
  <si>
    <t xml:space="preserve">None
</t>
  </si>
  <si>
    <t>AR-180</t>
  </si>
  <si>
    <t>Navigator</t>
  </si>
  <si>
    <t>Soldier</t>
  </si>
  <si>
    <t>Terrorist 1</t>
  </si>
  <si>
    <t>Makarov (2 Grenades)</t>
  </si>
  <si>
    <t>RPG-7 (2 Rockets)</t>
  </si>
  <si>
    <t>M1911 (2 Grenades)</t>
  </si>
  <si>
    <t>M1911 (1 High-ex)</t>
  </si>
  <si>
    <t>Milkor MGL</t>
  </si>
  <si>
    <t>Terrorist 2</t>
  </si>
  <si>
    <t>Heavy Vest (40)</t>
  </si>
  <si>
    <t>Width
Lenght</t>
  </si>
  <si>
    <t>Civilians</t>
  </si>
  <si>
    <t>Race</t>
  </si>
  <si>
    <t>Commanders
0</t>
  </si>
  <si>
    <t>Leaders
1</t>
  </si>
  <si>
    <t>SAW/Shields
2</t>
  </si>
  <si>
    <t>Riflemen
3</t>
  </si>
  <si>
    <t>Raider/Heavies
4</t>
  </si>
  <si>
    <t>Grunts
5</t>
  </si>
  <si>
    <t>Grenadier/SAWs
6</t>
  </si>
  <si>
    <t>Snipers
7</t>
  </si>
  <si>
    <t>Allowed
Craft</t>
  </si>
  <si>
    <t>Duration Min
Duration Max</t>
  </si>
  <si>
    <t>DespawnPenalty
AbortPenalty</t>
  </si>
  <si>
    <t>KeepCraft</t>
  </si>
  <si>
    <t>Terrorist Attack</t>
  </si>
  <si>
    <t>30
30</t>
  </si>
  <si>
    <t>Terrorist</t>
  </si>
  <si>
    <t>Small</t>
  </si>
  <si>
    <t>24
48</t>
  </si>
  <si>
    <t>yes</t>
  </si>
  <si>
    <t>Plane Hijacking</t>
  </si>
  <si>
    <t>Small
Medium</t>
  </si>
  <si>
    <t>House Raid</t>
  </si>
  <si>
    <t>360
720</t>
  </si>
  <si>
    <t>100
50</t>
  </si>
  <si>
    <t>Major Attack</t>
  </si>
  <si>
    <t>60
60</t>
  </si>
  <si>
    <t>All</t>
  </si>
  <si>
    <t>700
400</t>
  </si>
  <si>
    <t>Hostage Situation</t>
  </si>
  <si>
    <t>Major Hideout Raid</t>
  </si>
  <si>
    <t>50
50</t>
  </si>
  <si>
    <t>200
100</t>
  </si>
  <si>
    <t>Office Raid</t>
  </si>
  <si>
    <t>Private
Security</t>
  </si>
  <si>
    <t>25
50</t>
  </si>
  <si>
    <t>Sky Scraper Raid</t>
  </si>
  <si>
    <t>Large</t>
  </si>
  <si>
    <t>0
500</t>
  </si>
  <si>
    <t>3-4</t>
  </si>
  <si>
    <t>4-5</t>
  </si>
  <si>
    <t>5-7</t>
  </si>
  <si>
    <t>6-8</t>
  </si>
  <si>
    <t>8-10</t>
  </si>
  <si>
    <t>2-3</t>
  </si>
  <si>
    <t>2-4</t>
  </si>
  <si>
    <t>3-5</t>
  </si>
  <si>
    <t>4-6</t>
  </si>
  <si>
    <t>7-10</t>
  </si>
  <si>
    <t>8-12</t>
  </si>
  <si>
    <t>10-14</t>
  </si>
  <si>
    <t>9-12</t>
  </si>
  <si>
    <t>1-2</t>
  </si>
  <si>
    <t>1-3</t>
  </si>
  <si>
    <t>Desert Eagle</t>
  </si>
  <si>
    <t>50 AE</t>
  </si>
  <si>
    <t>50 AE graph</t>
  </si>
  <si>
    <t>1.25 to health, 1.5 armor effectiveness.  More effecive against targets without armor, less effective against targest with armor. (Graph in Other Info)</t>
  </si>
  <si>
    <t>More hp damage, less effective vs armor</t>
  </si>
  <si>
    <t>G36C</t>
  </si>
  <si>
    <t>Skorpion Evo</t>
  </si>
  <si>
    <t>[30,40]</t>
  </si>
  <si>
    <t>M16A2 (Scoped)</t>
  </si>
  <si>
    <t>M16A2 (M203)</t>
  </si>
  <si>
    <t>Aimed</t>
  </si>
  <si>
    <t>FMG 9</t>
  </si>
  <si>
    <t>M14 EBR</t>
  </si>
  <si>
    <t>M14 EBR (Scoped)</t>
  </si>
  <si>
    <t>Just a list of things that are planing on being done in no particular order or priority so we don’t forget about them</t>
  </si>
  <si>
    <t>Launched blade</t>
  </si>
  <si>
    <t>Used for balistic knife, which is not in this spreadsheat</t>
  </si>
  <si>
    <t>6.5mm CBJ</t>
  </si>
  <si>
    <t>[30,100]</t>
  </si>
  <si>
    <t>CBJ-MS SAW</t>
  </si>
  <si>
    <t>CBJ-MS</t>
  </si>
  <si>
    <t>M3</t>
  </si>
  <si>
    <t>12G Incendiary</t>
  </si>
  <si>
    <t>Sets things on fire</t>
  </si>
  <si>
    <t>Other</t>
  </si>
  <si>
    <t>12G Breaching</t>
  </si>
  <si>
    <t>3x ToTile Damage</t>
  </si>
  <si>
    <t>Breach ammo</t>
  </si>
  <si>
    <t>NL, Slug &amp; Inc ammo</t>
  </si>
  <si>
    <t>SR-3</t>
  </si>
  <si>
    <t>P90 (Sopmod)</t>
  </si>
  <si>
    <t>Quick weapon attachment researches when you get a weapon that can use them (ie get m4 from enemy + have sopmod unlocked -&gt; research -&gt; can apply sopmod despite not doing m4 acquisition).</t>
  </si>
  <si>
    <t>Aks-74u</t>
  </si>
  <si>
    <t>Aks-74u (Sopmod)</t>
  </si>
  <si>
    <t>M9</t>
  </si>
  <si>
    <t>AKM/AKs-74u/?</t>
  </si>
  <si>
    <t>M1911/M9/Dual M9s</t>
  </si>
  <si>
    <t>Remington 870/M3/Remington (slug)</t>
  </si>
  <si>
    <t>Spas12/Remington 870/Spas12(slug)</t>
  </si>
  <si>
    <t>KS-23/KS-23 (slug)/KS-23(NL)</t>
  </si>
  <si>
    <t>Skorpion/Uzi/Skorpion</t>
  </si>
  <si>
    <t>Double Barrel/Skorpion/Uzi</t>
  </si>
  <si>
    <t>M16 (Scoped)/SKS/M14 (Scoped)</t>
  </si>
  <si>
    <t>M82 Barret/M24 SWS/AWM</t>
  </si>
  <si>
    <t>Sako TRG/M82 Barrett/AWP</t>
  </si>
  <si>
    <t>VSS/OSV 96/OSV 96</t>
  </si>
  <si>
    <t>AK-12/Aks-74u (Sopmod)/RK-62</t>
  </si>
  <si>
    <t>HK416/G36/Famas</t>
  </si>
  <si>
    <t>FN SCAR L/FN SCAR H/?</t>
  </si>
  <si>
    <t>M4 Carbine/SCAR L/FX-05</t>
  </si>
  <si>
    <t>AK-74/G3?</t>
  </si>
  <si>
    <t>AR-18/G3?</t>
  </si>
  <si>
    <t>Remington 870/M9/Deagle</t>
  </si>
  <si>
    <t>TEC-9/Glock18/Spas 12</t>
  </si>
  <si>
    <t>M16/M16 (m203 Smoke)/Deagle</t>
  </si>
  <si>
    <t>AR-18/Spas 12/G3</t>
  </si>
  <si>
    <t>AKM/AK-74</t>
  </si>
  <si>
    <t>RPK/RPK/AKM</t>
  </si>
  <si>
    <t>M249/M60/M60</t>
  </si>
  <si>
    <t>Vityaz/AKs-74u (Sopmod)/Vektor</t>
  </si>
  <si>
    <t>UMP/CBJ-MS/Five Seven</t>
  </si>
  <si>
    <t>MP5SD/Glock 18 (Stock)/Taser</t>
  </si>
  <si>
    <t>SIG MPX/MP7/Skorpion EVO</t>
  </si>
  <si>
    <t>Versek/AK-12/AKs-74u (Sopmod)</t>
  </si>
  <si>
    <t>FN P90/G36C/Spas 12 (inc)</t>
  </si>
  <si>
    <t>KS-23/Saiga 12/Sledgehammer</t>
  </si>
  <si>
    <t>KS-23 (NL)/Saiga 12(NL)/Saiga 12</t>
  </si>
  <si>
    <t>Origin 12 (NL)/USAS 12(NL)/USAS 12</t>
  </si>
  <si>
    <t>Origin 12/USAS 12/Origin 12 (Slug)</t>
  </si>
  <si>
    <t>AA-12/Mk 18 Mod 0 MASS/AA-12 (Slug)</t>
  </si>
  <si>
    <t>HK416 (SOPMOD)/Tavor 95x/HK416 (Mass)</t>
  </si>
  <si>
    <t>AK-15/RK-62/AK-15 (Scoped)</t>
  </si>
  <si>
    <t>Mk 18 Mod 0 (SOPMOD)/Scar L (Sopmod)/Scar H</t>
  </si>
  <si>
    <t>AK-12/AK-12 (Scoped)/?</t>
  </si>
  <si>
    <t>Famas/G36/?</t>
  </si>
  <si>
    <t>Sako TRG/MSG 90/M82</t>
  </si>
  <si>
    <t>M82/Scar H (Sopmod)/AWM</t>
  </si>
  <si>
    <t>AWP/PSG 1/PSG 1</t>
  </si>
  <si>
    <t>M24 SWS/M14 (Scoped)/M24 SWS</t>
  </si>
  <si>
    <t>M24 SWS/Scar H (Sopmod)/AWM</t>
  </si>
  <si>
    <t>Dragunov/VSS/VSS</t>
  </si>
  <si>
    <t>AWP/PSG 1/MSG 90</t>
  </si>
  <si>
    <t>RPK</t>
  </si>
  <si>
    <t>Pecheneg/?/RPK</t>
  </si>
  <si>
    <t>Shield + M1911/M9/P226</t>
  </si>
  <si>
    <t>Shield + MK 23/P226/Deagle</t>
  </si>
  <si>
    <t>Shield + Glock 17/Manhurin/Taser</t>
  </si>
  <si>
    <t>Shield + Makarov/Skorpion/Knife</t>
  </si>
  <si>
    <t>Shield + Vektor/Versek/SR-3</t>
  </si>
  <si>
    <t>Shield + SR-3 Vikhr/Versek/Vektor</t>
  </si>
  <si>
    <t>Shield + Five-seveN/Glock 18/Glock 18 (Stock)</t>
  </si>
  <si>
    <t>Shield + MK 23/Deagle/P226</t>
  </si>
  <si>
    <t>Glock 18/G36C/?</t>
  </si>
  <si>
    <t>Glock 17/AKs-74u (Sopmod)/?</t>
  </si>
  <si>
    <t>Saiga 12/SR-3/?</t>
  </si>
  <si>
    <t>HK417/?/?</t>
  </si>
  <si>
    <t>Browning HP</t>
  </si>
  <si>
    <t>M72 LAW</t>
  </si>
  <si>
    <t>Sten</t>
  </si>
  <si>
    <t>M1 Garand</t>
  </si>
  <si>
    <t>LAMG</t>
  </si>
  <si>
    <t>Mac 10</t>
  </si>
  <si>
    <t>SMAW</t>
  </si>
  <si>
    <t>Built in Ammo, Not reloadable</t>
  </si>
  <si>
    <t>Single Use</t>
  </si>
  <si>
    <t>M3 Grease Gun</t>
  </si>
  <si>
    <t>M3 Grease Gun/TEC-9/M3 Grease Gun</t>
  </si>
  <si>
    <t>M3 Grease Gun/Double Barrel/Skorpion</t>
  </si>
  <si>
    <t>AA-12(NL)/Serbu/Serbu (Breach)</t>
  </si>
  <si>
    <t>Snap</t>
  </si>
  <si>
    <t>[30,45,60][1]</t>
  </si>
  <si>
    <t>AK-74 (GP-25)</t>
  </si>
  <si>
    <t>Arcing</t>
  </si>
  <si>
    <t>VOG-25 (Frag)</t>
  </si>
  <si>
    <t>GRD-50 (Smoke)</t>
  </si>
  <si>
    <t>RPG-7/Ak-74 (GP-25)/Ak-74 (GP-25)</t>
  </si>
  <si>
    <t>M110 or M2010</t>
  </si>
  <si>
    <t>.30-06</t>
  </si>
  <si>
    <t>Unscoped, Sling</t>
  </si>
  <si>
    <t>M1D Garand</t>
  </si>
  <si>
    <t>Sling</t>
  </si>
  <si>
    <t>M1 Garand/M1D Garand/Hunting Rifle</t>
  </si>
  <si>
    <t>Hunting Rifle/Hunting Rifle/M1 Garand</t>
  </si>
  <si>
    <t>SIG MPX/MP7/Skorpion EVO + (flashbang)</t>
  </si>
  <si>
    <t>FN P90/FN P90 (Sopmod)/Spas 12 (inc) + (flashbang)</t>
  </si>
  <si>
    <t>Versek/AK-12/AKs-74u (Sopmod) + (flashbang)</t>
  </si>
  <si>
    <t>Hi-Power (2 Molotovs)</t>
  </si>
  <si>
    <t xml:space="preserve">Hi-Power  </t>
  </si>
  <si>
    <t>(1 Grenade) + (AK-74/?/AKs-74u)</t>
  </si>
  <si>
    <t>KS-23/Saiga 12/KS-23 (1xFlash 2xbuck)</t>
  </si>
  <si>
    <t>FN MAG</t>
  </si>
  <si>
    <t>FN Minimi/FN Minimi/FN MAG</t>
  </si>
  <si>
    <t>FN Minimi/FN Mag/CBJ-MS (SAW)</t>
  </si>
  <si>
    <t>Bren</t>
  </si>
  <si>
    <t>AUG HBAR</t>
  </si>
  <si>
    <t>MG36</t>
  </si>
  <si>
    <t>C7A1 LSW</t>
  </si>
  <si>
    <t>Ultimax 100</t>
  </si>
  <si>
    <t>M60E6</t>
  </si>
  <si>
    <t>FN MAG/FN MAG/FN Minimi</t>
  </si>
  <si>
    <t>M60/M60/C7A1 LSW</t>
  </si>
  <si>
    <t>C7A1 LSW/M60/M249</t>
  </si>
  <si>
    <t>M249/M249/M60E6</t>
  </si>
  <si>
    <t>Mk48/AUG HBAR/MG36</t>
  </si>
  <si>
    <t>MK48/Negev/MG36</t>
  </si>
  <si>
    <t>M60E6/M249/Ultimax 100</t>
  </si>
  <si>
    <t>Spas12/Remington 870 (slug)/Spas12</t>
  </si>
  <si>
    <t>Remington 870/M3 (slug)/M3</t>
  </si>
  <si>
    <t>AR-18/G3/Spas 12 (Inc)</t>
  </si>
  <si>
    <t>Movement pen.</t>
  </si>
  <si>
    <t>Kriss Vector</t>
  </si>
  <si>
    <t>AKs-74u/Stechkin/Glock 17</t>
  </si>
  <si>
    <t>AKs-74u (Sopmod)/AK-74 (GP-25 Smoke)/AK-74 (GP-25 Frag)</t>
  </si>
  <si>
    <t>AKs-74u (Sopmod)/AK-74 (GP-25 Frag)/Vektor</t>
  </si>
  <si>
    <t>M4 Carbine/M4 (UBS)/Deagle</t>
  </si>
  <si>
    <t>Skorpion EVO/Kriss Vector/Golden Deagle</t>
  </si>
  <si>
    <t>Deagle/Skorpion EVO/Kriss Vector</t>
  </si>
  <si>
    <t>MK23/M4 Carbine (Sopmod)/M4 Carbine (Sopmod)</t>
  </si>
  <si>
    <t>100000 &lt;=vet diff 200000 &gt;vet diff</t>
  </si>
  <si>
    <t>1/2 Recruit cost
+ 10000</t>
  </si>
  <si>
    <t>M26 MASS</t>
  </si>
  <si>
    <t>ACR</t>
  </si>
  <si>
    <t>M4 Carbine/ACR/Deagle</t>
  </si>
  <si>
    <t>M4 Carbine/FX-05/FX-05</t>
  </si>
  <si>
    <t>Kriss Vector/ACR/Gold Deagle</t>
  </si>
  <si>
    <t>Vest + Riot (35)</t>
  </si>
  <si>
    <t>M79</t>
  </si>
  <si>
    <t>FN2000</t>
  </si>
  <si>
    <t>QLZ-87/QLU-11</t>
  </si>
  <si>
    <t>Beretta 93R</t>
  </si>
  <si>
    <t>EOD suit</t>
  </si>
  <si>
    <t>TEC-9/TEC-9/Skorpion</t>
  </si>
  <si>
    <t>Styer Scout</t>
  </si>
  <si>
    <t>VSS/OSV 96/Dragunov</t>
  </si>
  <si>
    <t>SKS/SKS/SKS</t>
  </si>
  <si>
    <t>FN FAL (scoped)/FN FAL (scoped)/FN FAL (scoped)</t>
  </si>
  <si>
    <t>SV-98</t>
  </si>
  <si>
    <t>SSG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</si>
</sst>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b/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thin">
        <color indexed="64"/>
      </bottom>
      <diagonal/>
    </border>
    <border>
      <left/>
      <right/>
      <top style="medium">
        <color rgb="FFCCCCCC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 style="medium">
        <color rgb="FFCCCCCC"/>
      </left>
      <right/>
      <top style="thin">
        <color indexed="64"/>
      </top>
      <bottom style="medium">
        <color rgb="FFCCCCCC"/>
      </bottom>
      <diagonal/>
    </border>
    <border>
      <left/>
      <right/>
      <top style="thin">
        <color indexed="64"/>
      </top>
      <bottom style="medium">
        <color rgb="FFCCCCCC"/>
      </bottom>
      <diagonal/>
    </border>
    <border>
      <left style="medium">
        <color rgb="FFCCCCCC"/>
      </left>
      <right/>
      <top style="thin">
        <color indexed="64"/>
      </top>
      <bottom/>
      <diagonal/>
    </border>
    <border>
      <left style="medium">
        <color theme="0" tint="-0.14999847407452621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0" tint="-0.14999847407452621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theme="0" tint="-0.14999847407452621"/>
      </right>
      <top style="medium">
        <color rgb="FFCCCCCC"/>
      </top>
      <bottom style="medium">
        <color rgb="FFCCCCCC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rgb="FFCCCCCC"/>
      </bottom>
      <diagonal/>
    </border>
    <border>
      <left style="medium">
        <color rgb="FFCCCCCC"/>
      </left>
      <right style="medium">
        <color theme="0" tint="-0.14999847407452621"/>
      </right>
      <top style="thin">
        <color indexed="64"/>
      </top>
      <bottom style="medium">
        <color rgb="FFCCCCCC"/>
      </bottom>
      <diagonal/>
    </border>
    <border>
      <left style="medium">
        <color theme="0" tint="-0.14999847407452621"/>
      </left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theme="0" tint="-0.14999847407452621"/>
      </right>
      <top style="medium">
        <color rgb="FFCCCCCC"/>
      </top>
      <bottom style="thin">
        <color indexed="64"/>
      </bottom>
      <diagonal/>
    </border>
    <border>
      <left style="medium">
        <color theme="0" tint="-0.14999847407452621"/>
      </left>
      <right/>
      <top style="thin">
        <color indexed="64"/>
      </top>
      <bottom style="medium">
        <color rgb="FFCCCCCC"/>
      </bottom>
      <diagonal/>
    </border>
    <border>
      <left style="medium">
        <color theme="0" tint="-0.14999847407452621"/>
      </left>
      <right/>
      <top style="medium">
        <color rgb="FFCCCCCC"/>
      </top>
      <bottom style="thin">
        <color indexed="64"/>
      </bottom>
      <diagonal/>
    </border>
    <border>
      <left style="medium">
        <color theme="0" tint="-0.14999847407452621"/>
      </left>
      <right/>
      <top style="thin">
        <color indexed="64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0" tint="-0.14999847407452621"/>
      </right>
      <top style="thin">
        <color indexed="64"/>
      </top>
      <bottom style="medium">
        <color rgb="FFCCCCCC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3" xfId="0" applyBorder="1"/>
    <xf numFmtId="0" fontId="0" fillId="2" borderId="3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3" xfId="0" applyFill="1" applyBorder="1"/>
    <xf numFmtId="0" fontId="0" fillId="4" borderId="0" xfId="0" applyFill="1"/>
    <xf numFmtId="0" fontId="0" fillId="5" borderId="3" xfId="0" applyFill="1" applyBorder="1"/>
    <xf numFmtId="0" fontId="0" fillId="5" borderId="0" xfId="0" applyFill="1"/>
    <xf numFmtId="0" fontId="0" fillId="6" borderId="0" xfId="0" applyFill="1"/>
    <xf numFmtId="0" fontId="0" fillId="0" borderId="6" xfId="0" applyBorder="1"/>
    <xf numFmtId="0" fontId="0" fillId="6" borderId="2" xfId="0" applyFill="1" applyBorder="1"/>
    <xf numFmtId="0" fontId="0" fillId="6" borderId="3" xfId="0" applyFill="1" applyBorder="1"/>
    <xf numFmtId="0" fontId="0" fillId="0" borderId="1" xfId="0" applyBorder="1"/>
    <xf numFmtId="0" fontId="0" fillId="6" borderId="1" xfId="0" applyFill="1" applyBorder="1"/>
    <xf numFmtId="0" fontId="0" fillId="0" borderId="5" xfId="0" applyBorder="1"/>
    <xf numFmtId="0" fontId="0" fillId="6" borderId="5" xfId="0" applyFill="1" applyBorder="1"/>
    <xf numFmtId="0" fontId="0" fillId="6" borderId="6" xfId="0" applyFill="1" applyBorder="1"/>
    <xf numFmtId="0" fontId="1" fillId="0" borderId="6" xfId="0" applyFont="1" applyBorder="1"/>
    <xf numFmtId="0" fontId="2" fillId="8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vertical="center" wrapText="1"/>
    </xf>
    <xf numFmtId="0" fontId="2" fillId="10" borderId="7" xfId="0" applyFont="1" applyFill="1" applyBorder="1" applyAlignment="1">
      <alignment vertical="center" wrapText="1"/>
    </xf>
    <xf numFmtId="0" fontId="2" fillId="11" borderId="7" xfId="0" applyFont="1" applyFill="1" applyBorder="1" applyAlignment="1">
      <alignment vertical="center" wrapText="1"/>
    </xf>
    <xf numFmtId="0" fontId="2" fillId="12" borderId="7" xfId="0" applyFont="1" applyFill="1" applyBorder="1" applyAlignment="1">
      <alignment vertical="center" wrapText="1"/>
    </xf>
    <xf numFmtId="0" fontId="2" fillId="13" borderId="7" xfId="0" applyFont="1" applyFill="1" applyBorder="1" applyAlignment="1">
      <alignment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16" borderId="7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2" fillId="19" borderId="7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vertical="center" wrapText="1"/>
    </xf>
    <xf numFmtId="0" fontId="2" fillId="14" borderId="7" xfId="0" applyFont="1" applyFill="1" applyBorder="1" applyAlignment="1">
      <alignment vertical="center" wrapText="1"/>
    </xf>
    <xf numFmtId="0" fontId="2" fillId="16" borderId="7" xfId="0" applyFont="1" applyFill="1" applyBorder="1" applyAlignment="1">
      <alignment vertical="center" wrapText="1"/>
    </xf>
    <xf numFmtId="0" fontId="2" fillId="17" borderId="7" xfId="0" applyFont="1" applyFill="1" applyBorder="1" applyAlignment="1">
      <alignment vertical="center" wrapText="1"/>
    </xf>
    <xf numFmtId="0" fontId="2" fillId="18" borderId="7" xfId="0" applyFont="1" applyFill="1" applyBorder="1" applyAlignment="1">
      <alignment vertical="center" wrapText="1"/>
    </xf>
    <xf numFmtId="0" fontId="2" fillId="19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2" fillId="20" borderId="7" xfId="0" applyFont="1" applyFill="1" applyBorder="1" applyAlignment="1">
      <alignment vertical="center" wrapText="1"/>
    </xf>
    <xf numFmtId="0" fontId="2" fillId="21" borderId="7" xfId="0" applyFont="1" applyFill="1" applyBorder="1" applyAlignment="1">
      <alignment vertical="center" wrapText="1"/>
    </xf>
    <xf numFmtId="0" fontId="2" fillId="22" borderId="7" xfId="0" applyFont="1" applyFill="1" applyBorder="1" applyAlignment="1">
      <alignment vertical="center" wrapText="1"/>
    </xf>
    <xf numFmtId="0" fontId="2" fillId="0" borderId="13" xfId="0" applyFont="1" applyBorder="1" applyAlignment="1">
      <alignment wrapText="1"/>
    </xf>
    <xf numFmtId="49" fontId="2" fillId="15" borderId="7" xfId="0" applyNumberFormat="1" applyFont="1" applyFill="1" applyBorder="1" applyAlignment="1">
      <alignment horizontal="center" vertical="center" wrapText="1"/>
    </xf>
    <xf numFmtId="49" fontId="2" fillId="14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2" xfId="0" applyBorder="1"/>
    <xf numFmtId="0" fontId="0" fillId="23" borderId="4" xfId="0" applyFill="1" applyBorder="1"/>
    <xf numFmtId="0" fontId="0" fillId="23" borderId="0" xfId="0" applyFill="1"/>
    <xf numFmtId="0" fontId="0" fillId="3" borderId="14" xfId="0" applyFill="1" applyBorder="1"/>
    <xf numFmtId="0" fontId="0" fillId="2" borderId="6" xfId="0" applyFill="1" applyBorder="1"/>
    <xf numFmtId="0" fontId="0" fillId="24" borderId="0" xfId="0" applyFill="1"/>
    <xf numFmtId="0" fontId="2" fillId="20" borderId="9" xfId="0" applyFont="1" applyFill="1" applyBorder="1" applyAlignment="1">
      <alignment vertical="center" wrapText="1"/>
    </xf>
    <xf numFmtId="0" fontId="2" fillId="22" borderId="15" xfId="0" applyFont="1" applyFill="1" applyBorder="1" applyAlignment="1">
      <alignment vertical="center" wrapText="1"/>
    </xf>
    <xf numFmtId="0" fontId="2" fillId="22" borderId="8" xfId="0" applyFont="1" applyFill="1" applyBorder="1" applyAlignment="1">
      <alignment vertical="center" wrapText="1"/>
    </xf>
    <xf numFmtId="0" fontId="2" fillId="20" borderId="23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20" borderId="24" xfId="0" applyFont="1" applyFill="1" applyBorder="1" applyAlignment="1">
      <alignment wrapText="1"/>
    </xf>
    <xf numFmtId="0" fontId="2" fillId="20" borderId="25" xfId="0" applyFont="1" applyFill="1" applyBorder="1" applyAlignment="1">
      <alignment wrapText="1"/>
    </xf>
    <xf numFmtId="0" fontId="2" fillId="21" borderId="7" xfId="0" applyFont="1" applyFill="1" applyBorder="1" applyAlignment="1">
      <alignment horizontal="left" vertical="center" wrapText="1"/>
    </xf>
    <xf numFmtId="0" fontId="2" fillId="21" borderId="29" xfId="0" applyFont="1" applyFill="1" applyBorder="1" applyAlignment="1">
      <alignment vertical="center" wrapText="1"/>
    </xf>
    <xf numFmtId="0" fontId="2" fillId="22" borderId="19" xfId="0" applyFont="1" applyFill="1" applyBorder="1" applyAlignment="1">
      <alignment wrapText="1"/>
    </xf>
    <xf numFmtId="0" fontId="2" fillId="20" borderId="26" xfId="0" applyFont="1" applyFill="1" applyBorder="1" applyAlignment="1">
      <alignment wrapText="1"/>
    </xf>
    <xf numFmtId="0" fontId="2" fillId="21" borderId="30" xfId="0" applyFont="1" applyFill="1" applyBorder="1" applyAlignment="1">
      <alignment wrapText="1"/>
    </xf>
    <xf numFmtId="0" fontId="2" fillId="21" borderId="10" xfId="0" applyFont="1" applyFill="1" applyBorder="1" applyAlignment="1">
      <alignment wrapText="1"/>
    </xf>
    <xf numFmtId="0" fontId="2" fillId="21" borderId="11" xfId="0" applyFont="1" applyFill="1" applyBorder="1" applyAlignment="1">
      <alignment wrapText="1"/>
    </xf>
    <xf numFmtId="0" fontId="2" fillId="22" borderId="11" xfId="0" applyFont="1" applyFill="1" applyBorder="1" applyAlignment="1">
      <alignment wrapText="1"/>
    </xf>
    <xf numFmtId="0" fontId="2" fillId="20" borderId="16" xfId="0" applyFont="1" applyFill="1" applyBorder="1" applyAlignment="1">
      <alignment wrapText="1"/>
    </xf>
    <xf numFmtId="0" fontId="2" fillId="22" borderId="18" xfId="0" applyFont="1" applyFill="1" applyBorder="1" applyAlignment="1">
      <alignment wrapText="1"/>
    </xf>
    <xf numFmtId="0" fontId="2" fillId="20" borderId="31" xfId="0" applyFont="1" applyFill="1" applyBorder="1" applyAlignment="1">
      <alignment wrapText="1"/>
    </xf>
    <xf numFmtId="0" fontId="2" fillId="20" borderId="32" xfId="0" applyFont="1" applyFill="1" applyBorder="1" applyAlignment="1">
      <alignment wrapText="1"/>
    </xf>
    <xf numFmtId="0" fontId="2" fillId="21" borderId="27" xfId="0" applyFont="1" applyFill="1" applyBorder="1" applyAlignment="1">
      <alignment wrapText="1"/>
    </xf>
    <xf numFmtId="0" fontId="2" fillId="22" borderId="33" xfId="0" applyFont="1" applyFill="1" applyBorder="1" applyAlignment="1">
      <alignment wrapText="1"/>
    </xf>
    <xf numFmtId="0" fontId="2" fillId="21" borderId="29" xfId="0" applyFont="1" applyFill="1" applyBorder="1" applyAlignment="1">
      <alignment wrapText="1"/>
    </xf>
    <xf numFmtId="0" fontId="2" fillId="20" borderId="34" xfId="0" applyFont="1" applyFill="1" applyBorder="1" applyAlignment="1">
      <alignment wrapText="1"/>
    </xf>
    <xf numFmtId="0" fontId="2" fillId="22" borderId="35" xfId="0" applyFont="1" applyFill="1" applyBorder="1" applyAlignment="1">
      <alignment wrapText="1"/>
    </xf>
    <xf numFmtId="0" fontId="2" fillId="20" borderId="36" xfId="0" applyFont="1" applyFill="1" applyBorder="1" applyAlignment="1">
      <alignment wrapText="1"/>
    </xf>
    <xf numFmtId="0" fontId="2" fillId="21" borderId="28" xfId="0" applyFont="1" applyFill="1" applyBorder="1" applyAlignment="1">
      <alignment wrapText="1"/>
    </xf>
    <xf numFmtId="0" fontId="2" fillId="22" borderId="29" xfId="0" applyFont="1" applyFill="1" applyBorder="1" applyAlignment="1">
      <alignment wrapText="1"/>
    </xf>
    <xf numFmtId="0" fontId="2" fillId="20" borderId="37" xfId="0" applyFont="1" applyFill="1" applyBorder="1" applyAlignment="1">
      <alignment wrapText="1"/>
    </xf>
    <xf numFmtId="0" fontId="2" fillId="20" borderId="31" xfId="0" applyFont="1" applyFill="1" applyBorder="1" applyAlignment="1">
      <alignment horizontal="left" wrapText="1"/>
    </xf>
    <xf numFmtId="0" fontId="2" fillId="21" borderId="10" xfId="0" applyFont="1" applyFill="1" applyBorder="1" applyAlignment="1">
      <alignment horizontal="left" wrapText="1"/>
    </xf>
    <xf numFmtId="0" fontId="2" fillId="21" borderId="28" xfId="0" applyFont="1" applyFill="1" applyBorder="1" applyAlignment="1">
      <alignment horizontal="left" wrapText="1"/>
    </xf>
    <xf numFmtId="0" fontId="2" fillId="22" borderId="38" xfId="0" applyFont="1" applyFill="1" applyBorder="1" applyAlignment="1">
      <alignment horizontal="left" wrapText="1"/>
    </xf>
    <xf numFmtId="0" fontId="2" fillId="22" borderId="33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46">
    <dxf>
      <border outline="0">
        <top style="thin">
          <color theme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left style="thin">
          <color indexed="64"/>
        </left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left style="thin">
          <color indexed="64"/>
        </left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left style="thin">
          <color indexed="64"/>
        </left>
        <bottom style="thin">
          <color indexed="64"/>
        </bottom>
      </border>
    </dxf>
  </dxfs>
  <tableStyles count="0" defaultTableStyle="TableStyleMedium2" defaultPivotStyle="PivotStyleLight16"/>
  <colors>
    <mruColors>
      <color rgb="FFFF99CC"/>
      <color rgb="FFFF9999"/>
      <color rgb="FFFF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28575</xdr:rowOff>
    </xdr:from>
    <xdr:to>
      <xdr:col>11</xdr:col>
      <xdr:colOff>220056</xdr:colOff>
      <xdr:row>24</xdr:row>
      <xdr:rowOff>114924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60F7-435D-FB0F-EFA6-B02B5E938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9075"/>
          <a:ext cx="7030431" cy="44678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5ADB4B-FA5C-4198-B176-74B13C9070CD}" name="Table5" displayName="Table5" ref="B1:I11" totalsRowShown="0" tableBorderDxfId="45">
  <autoFilter ref="B1:I11" xr:uid="{CA5ADB4B-FA5C-4198-B176-74B13C9070CD}"/>
  <tableColumns count="8">
    <tableColumn id="1" xr3:uid="{085F0113-80A5-4D7F-B00C-4888CB135866}" name="Name"/>
    <tableColumn id="2" xr3:uid="{83162986-E3B5-4977-9B14-D30075C4E5BC}" name="Power"/>
    <tableColumn id="3" xr3:uid="{64A288C2-4219-4C15-9480-596F6E8F24AB}" name="ToArmorPre"/>
    <tableColumn id="4" xr3:uid="{DB7CC10F-7D38-49E6-B949-BDA86EF3B77C}" name="Random type"/>
    <tableColumn id="5" xr3:uid="{0B6971BB-846B-473A-99C7-325910BF21E3}" name="Damage type"/>
    <tableColumn id="6" xr3:uid="{29C41048-8744-44C0-85D9-02E940DC8C24}" name="."/>
    <tableColumn id="7" xr3:uid="{9DF18BFB-83EB-4228-B5F0-E097FAD5F8E1}" name=".."/>
    <tableColumn id="8" xr3:uid="{B7D35418-0325-4EE4-8C56-A6BDAD33A062}" name="Notes: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EBB74B-543A-4247-8D65-0E143A9BEBA4}" name="Table6" displayName="Table6" ref="B12:I24" totalsRowShown="0" dataDxfId="44" tableBorderDxfId="43">
  <autoFilter ref="B12:I24" xr:uid="{A4EBB74B-543A-4247-8D65-0E143A9BEBA4}"/>
  <tableColumns count="8">
    <tableColumn id="1" xr3:uid="{A8C7ABBF-D256-4E65-A96F-CB8C79043F13}" name="Name"/>
    <tableColumn id="2" xr3:uid="{FF6CFE34-0508-4CB9-AB47-C96085BF18D3}" name="Power" dataDxfId="42"/>
    <tableColumn id="3" xr3:uid="{6F94617E-67C4-4EE4-88D3-DA4C753F2C56}" name="ToArmorPre" dataDxfId="41"/>
    <tableColumn id="4" xr3:uid="{BFDDC758-6F1C-48F7-8405-A15BF0B90AF2}" name="Random type" dataDxfId="40"/>
    <tableColumn id="5" xr3:uid="{67A4C730-EDD9-4A66-97EA-20DDCDFB8A06}" name="Damage type" dataDxfId="39"/>
    <tableColumn id="6" xr3:uid="{A5943E48-6156-40FE-9E02-94A8AF26B1C5}" name="." dataDxfId="38"/>
    <tableColumn id="7" xr3:uid="{561ED3C3-4246-4048-9EB4-F907BD6574C1}" name=".." dataDxfId="37"/>
    <tableColumn id="8" xr3:uid="{1B8F2AD9-79AF-4A58-B2C3-7503CA0BAC64}" name="Notes: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4A7A36-F4CD-41BE-9150-5714BC53B38A}" name="Table7" displayName="Table7" ref="B25:I33" totalsRowShown="0" headerRowDxfId="36" dataDxfId="35" tableBorderDxfId="34">
  <autoFilter ref="B25:I33" xr:uid="{664A7A36-F4CD-41BE-9150-5714BC53B38A}"/>
  <tableColumns count="8">
    <tableColumn id="1" xr3:uid="{B572F9F5-F31A-42DA-93B6-64F0EE8AB069}" name="Name"/>
    <tableColumn id="2" xr3:uid="{7722C74B-D75C-4FB4-B0CE-8B2513EB63AB}" name="Power" dataDxfId="33"/>
    <tableColumn id="3" xr3:uid="{2B3D43FA-8363-4A7A-AE89-1312A4387C80}" name="Pellets" dataDxfId="32"/>
    <tableColumn id="4" xr3:uid="{A0B3C6B1-1D75-44B4-9711-4F4A79B0FE38}" name="SG Spread"/>
    <tableColumn id="5" xr3:uid="{C82155F3-0B3C-48C3-BFD1-E5B4C3B8557A}" name="ToArmorPre" dataDxfId="31"/>
    <tableColumn id="6" xr3:uid="{C97FE6D6-3C14-44AC-9381-2505E342DBEE}" name="Random type" dataDxfId="30"/>
    <tableColumn id="7" xr3:uid="{661E259C-C3CC-460C-A23A-EB5CBF360C67}" name="Damage type" dataDxfId="29"/>
    <tableColumn id="8" xr3:uid="{AF6E3851-1CCB-488C-8934-795320B1A1F1}" name="Notes: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AB2E62-598B-4666-8BAF-7BB7165BB6E6}" name="Table8" displayName="Table8" ref="B34:I47" totalsRowShown="0" headerRowDxfId="28" dataDxfId="27" tableBorderDxfId="26">
  <autoFilter ref="B34:I47" xr:uid="{04AB2E62-598B-4666-8BAF-7BB7165BB6E6}"/>
  <tableColumns count="8">
    <tableColumn id="1" xr3:uid="{B4CC4C1E-3374-4B26-96BC-04C93FD2A144}" name="Name"/>
    <tableColumn id="2" xr3:uid="{C06185A8-6720-4F80-8AB3-39A31D26270F}" name="Power" dataDxfId="25"/>
    <tableColumn id="3" xr3:uid="{D80CA1F1-6F5B-438C-AA3F-65F88997D35D}" name="ToArmorPre"/>
    <tableColumn id="4" xr3:uid="{BDDADA10-5139-489B-9BAC-469FFB74E0C6}" name="Radius" dataDxfId="24"/>
    <tableColumn id="5" xr3:uid="{F4A64B16-FE69-4E3C-AE65-09D658999090}" name="RandomType" dataDxfId="23"/>
    <tableColumn id="6" xr3:uid="{62DACDE5-130B-434A-AC49-C48049F90C30}" name="DamageType" dataDxfId="22"/>
    <tableColumn id="7" xr3:uid="{C4DE3DB4-AE74-47C5-ACC8-1EECB716C17C}" name="." dataDxfId="21"/>
    <tableColumn id="8" xr3:uid="{F0BC5AFB-6639-4CF1-9407-26249096B7E5}" name="Notes: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930011F-5618-45BE-B462-F43D138EF4F7}" name="Table9" displayName="Table9" ref="A1:Z35" totalsRowShown="0" headerRowBorderDxfId="20">
  <autoFilter ref="A1:Z35" xr:uid="{1930011F-5618-45BE-B462-F43D138EF4F7}"/>
  <sortState xmlns:xlrd2="http://schemas.microsoft.com/office/spreadsheetml/2017/richdata2" ref="A2:Z14">
    <sortCondition descending="1" ref="H1:H35"/>
  </sortState>
  <tableColumns count="26">
    <tableColumn id="1" xr3:uid="{65C1FDAC-048C-4583-9579-8E5073FE8457}" name="Name"/>
    <tableColumn id="2" xr3:uid="{7A2AB053-4178-42D6-930E-A6EE740AD050}" name="weight"/>
    <tableColumn id="3" xr3:uid="{4BA64CE9-DCCE-472A-98B8-E782EFE49193}" name="size"/>
    <tableColumn id="4" xr3:uid="{1580D8A0-1F76-4182-BC4F-0EB30B5F86BA}" name="Cost"/>
    <tableColumn id="5" xr3:uid="{E0FB342A-E8EB-446E-97BF-ADFB8C48CB20}" name="two handed"/>
    <tableColumn id="6" xr3:uid="{ADAF0F11-7807-48DE-A470-9B37AEB8C478}" name="One hand pen."/>
    <tableColumn id="7" xr3:uid="{48288F57-64B1-42E9-A404-461A46140F28}" name="kneel bouns"/>
    <tableColumn id="8" xr3:uid="{FC1DE5F4-1C31-425E-975E-BE3AB714AC5A}" name="tuAimed"/>
    <tableColumn id="9" xr3:uid="{54404C86-8E4D-424A-879C-9200D973D1DB}" name="tuSnap"/>
    <tableColumn id="10" xr3:uid="{5CCDAB9D-9B55-4FA9-A474-79613A3D3D91}" name="tuAuto"/>
    <tableColumn id="11" xr3:uid="{27CE7A80-B5CF-484D-9FD3-DD2C8DD0BF94}" name="accAimed"/>
    <tableColumn id="12" xr3:uid="{28CE044D-50AC-454C-9BD8-5A2A9128F0E3}" name="accSnap"/>
    <tableColumn id="13" xr3:uid="{0C0FDED8-8521-4813-B2F7-5A2A6C1FFD8E}" name="accAuto"/>
    <tableColumn id="14" xr3:uid="{1451F7C8-71CC-4EA8-8C15-7E216D92BBA8}" name="rangeAimed"/>
    <tableColumn id="15" xr3:uid="{C170E4E2-F784-4968-B3BC-CC1154902BBF}" name="rangeSnap"/>
    <tableColumn id="16" xr3:uid="{EB00B4C0-52D1-483D-BC36-51B9110291F9}" name="rangeAuto"/>
    <tableColumn id="17" xr3:uid="{36F67A37-7DF6-400D-B0B2-E62A57294049}" name="maxRange"/>
    <tableColumn id="18" xr3:uid="{28E5B463-109E-46DB-BA7C-857208F93832}" name="minRange"/>
    <tableColumn id="19" xr3:uid="{F28888CA-A013-46BE-847D-3F9F62D53DAF}" name="Aimed shots"/>
    <tableColumn id="20" xr3:uid="{B57507AE-24EC-4568-BE4B-8A959E700012}" name="snap shots"/>
    <tableColumn id="21" xr3:uid="{24EF89BC-AB2D-4C4D-8D54-87DB3F38C497}" name="auto shots"/>
    <tableColumn id="22" xr3:uid="{9A269F28-04AD-4445-9B31-2179E9AB209A}" name="Caliber"/>
    <tableColumn id="23" xr3:uid="{4D8DC729-3D74-436B-8E87-E27BCFCEF25A}" name="Power"/>
    <tableColumn id="24" xr3:uid="{D8D11FBA-9C8A-4673-825E-19104A7B1D77}" name="toArmorPre"/>
    <tableColumn id="25" xr3:uid="{F3ED3068-E5A1-4D0C-85C5-1D53854658A9}" name="Mag sizes"/>
    <tableColumn id="26" xr3:uid="{6D336539-217D-4FA4-8DA6-8EFCA8D90004}" name="Notes: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47442F-754D-45A1-BC57-BBE7964D0858}" name="Table10" displayName="Table10" ref="A1:Z17" totalsRowShown="0" headerRowDxfId="19" headerRowBorderDxfId="18" tableBorderDxfId="17">
  <autoFilter ref="A1:Z17" xr:uid="{EB47442F-754D-45A1-BC57-BBE7964D0858}"/>
  <sortState xmlns:xlrd2="http://schemas.microsoft.com/office/spreadsheetml/2017/richdata2" ref="A2:Z15">
    <sortCondition descending="1" ref="M1:M15"/>
  </sortState>
  <tableColumns count="26">
    <tableColumn id="1" xr3:uid="{5824021B-BC67-48E1-A206-55414C872ECA}" name="Name"/>
    <tableColumn id="2" xr3:uid="{7BB258F7-AFED-4B27-85A4-1E53CEF19717}" name="weight"/>
    <tableColumn id="3" xr3:uid="{4C788CC6-5178-440F-9B41-3ABB1C53C3FA}" name="size"/>
    <tableColumn id="4" xr3:uid="{4BA83A5D-F948-41B8-8048-35E5DBF2DE2C}" name="Cost"/>
    <tableColumn id="5" xr3:uid="{0D1A3C8A-F12A-4777-B6BA-3FCEF32A4479}" name="two handed"/>
    <tableColumn id="6" xr3:uid="{9155E186-DF4B-452C-9805-8662B5902ACC}" name="One hand pen."/>
    <tableColumn id="7" xr3:uid="{3A932C42-B019-471D-BBD6-84A7B9EA7453}" name="kneel bouns"/>
    <tableColumn id="8" xr3:uid="{8273D525-7990-45A3-8427-06FCC1D5A805}" name="tuAimed"/>
    <tableColumn id="9" xr3:uid="{5693C3D0-4A86-43BC-8CCB-2F6A67B54892}" name="tuSnap"/>
    <tableColumn id="10" xr3:uid="{CED7EFFF-FC49-47CF-97EC-82E1478C44F1}" name="tuAuto"/>
    <tableColumn id="11" xr3:uid="{3CA01383-6885-45CC-A9BD-F52291024902}" name="accAimed"/>
    <tableColumn id="12" xr3:uid="{AE5D9D3E-9D41-4128-A1D0-C1728FA7AE30}" name="accSnap"/>
    <tableColumn id="13" xr3:uid="{7D0CCD61-E77E-431F-98AA-629144217723}" name="accAuto"/>
    <tableColumn id="14" xr3:uid="{942B9DB5-50A5-4599-A846-324205E5409F}" name="rangeAimed"/>
    <tableColumn id="15" xr3:uid="{3881FE4C-7D22-43A2-85F7-DAA529F5924A}" name="rangeSnap"/>
    <tableColumn id="16" xr3:uid="{CE1DE4DA-834C-4D40-8D59-515CA4A5EBFF}" name="rangeAuto"/>
    <tableColumn id="17" xr3:uid="{1B44F263-E1C0-46F3-8948-4E34629FD6EF}" name="maxRange"/>
    <tableColumn id="18" xr3:uid="{C9755795-1F89-4434-A0B1-F2BFF09D603F}" name="minRange"/>
    <tableColumn id="19" xr3:uid="{568AA103-0827-49F9-9F1F-0B31E196C557}" name="Aimed shots"/>
    <tableColumn id="20" xr3:uid="{62531363-BA92-4A8A-8AB6-B4087814EBB2}" name="snap shots"/>
    <tableColumn id="21" xr3:uid="{1C0B92DE-F808-4696-97D4-2E3861F73657}" name="auto shots"/>
    <tableColumn id="22" xr3:uid="{10804940-615D-4A24-A109-59207CE64CD5}" name="Caliber"/>
    <tableColumn id="23" xr3:uid="{CD7EC796-73A5-434D-961C-405820EB8034}" name="Power" dataDxfId="16"/>
    <tableColumn id="24" xr3:uid="{CBDDB6F9-1C23-428F-BFEB-AB8BAFF05B92}" name="toArmorPre" dataDxfId="15"/>
    <tableColumn id="25" xr3:uid="{0D2C2452-A089-4C8F-9B64-2CF44E06A30B}" name="Mag sizes"/>
    <tableColumn id="26" xr3:uid="{3A0725D0-4815-4E95-A3DF-3F1773EA189E}" name="Notes: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41084F-89A0-47CD-965A-F8C6F1FCBC05}" name="Table2" displayName="Table2" ref="A1:AA56" totalsRowShown="0" headerRowDxfId="14" headerRowBorderDxfId="13" tableBorderDxfId="12">
  <autoFilter ref="A1:AA56" xr:uid="{8241084F-89A0-47CD-965A-F8C6F1FCBC05}"/>
  <sortState xmlns:xlrd2="http://schemas.microsoft.com/office/spreadsheetml/2017/richdata2" ref="A2:AA55">
    <sortCondition ref="A1:A55"/>
  </sortState>
  <tableColumns count="27">
    <tableColumn id="1" xr3:uid="{EA086EA1-B04D-408A-83CB-62AACD4983EB}" name="Name"/>
    <tableColumn id="2" xr3:uid="{28FB994B-34C3-478E-82FB-47025B753042}" name="weight"/>
    <tableColumn id="3" xr3:uid="{44CBEE07-8F68-40B7-A25F-D61ACFD732D3}" name="size"/>
    <tableColumn id="4" xr3:uid="{A1058F0F-C6C7-476B-A905-0B94B914B172}" name="Cost"/>
    <tableColumn id="5" xr3:uid="{7AB8AA0D-6CCF-4E0C-B478-B2D14A509F9C}" name="GL/UBS firemode"/>
    <tableColumn id="6" xr3:uid="{534249BF-7AEB-4A67-BE33-00E8C0D45304}" name="two handed"/>
    <tableColumn id="7" xr3:uid="{DCD4346C-0EC8-49E4-BEF7-3925A6F86E83}" name="One hand pen."/>
    <tableColumn id="8" xr3:uid="{82E87279-A6A7-48D8-AD35-1809BF6A0D5A}" name="kneel bouns"/>
    <tableColumn id="9" xr3:uid="{DA9444B1-D68F-4FCF-8F85-4D800F5988B4}" name="tuAimed"/>
    <tableColumn id="10" xr3:uid="{BE52B890-6C22-4EC2-A3FB-65AC08ABE966}" name="tuSnap"/>
    <tableColumn id="11" xr3:uid="{C87BC72D-56D4-463A-B6CB-872CFD21B1E7}" name="tuAuto"/>
    <tableColumn id="12" xr3:uid="{3DA0099B-F44D-4241-8B6C-FCC6AA930A72}" name="accAimed"/>
    <tableColumn id="13" xr3:uid="{3208C6FA-7B3D-4E7B-92F2-E1F6444D0BD8}" name="accSnap"/>
    <tableColumn id="14" xr3:uid="{CC1177EF-17CC-477E-912F-B95BF4A7EF54}" name="accAuto"/>
    <tableColumn id="15" xr3:uid="{A11E4D3E-1547-4CB7-A675-6063DC4C7E4D}" name="rangeAimed"/>
    <tableColumn id="16" xr3:uid="{2E04416E-A52A-409C-9A10-0CB15CEFC7ED}" name="rangeSnap"/>
    <tableColumn id="17" xr3:uid="{228B9001-9040-4056-8C1D-DBE4CB65743E}" name="rangeAuto"/>
    <tableColumn id="18" xr3:uid="{395AD163-4640-46A8-AE59-E95416C43282}" name="maxRange"/>
    <tableColumn id="19" xr3:uid="{9E3BEB1E-4CD0-4899-9C84-B867FC54B9C8}" name="minRange"/>
    <tableColumn id="20" xr3:uid="{62433CA6-002A-44CE-A305-701D6F294212}" name="Aimed shots"/>
    <tableColumn id="21" xr3:uid="{80E22BE1-FE61-4435-BA4B-B24A042BEA63}" name="snap shots"/>
    <tableColumn id="22" xr3:uid="{DB955D27-2A12-4F0F-8BC5-4E8F94CAE428}" name="auto shots"/>
    <tableColumn id="23" xr3:uid="{D08FF03C-63A5-4AF5-9169-CCFA427218E6}" name="Caliber"/>
    <tableColumn id="24" xr3:uid="{F4D836D4-6BBF-45ED-8EA8-1903F56F8034}" name="Power"/>
    <tableColumn id="25" xr3:uid="{87A25B7A-AFFE-48D8-B242-4532B01D3CF5}" name="toArmorPre"/>
    <tableColumn id="26" xr3:uid="{54AC26DC-E112-4977-9D11-52599861AB9E}" name="Mag sizes"/>
    <tableColumn id="27" xr3:uid="{CA4410F5-B9D6-4025-86F4-5D48E6819918}" name="Notes: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5B424C5-03DC-4EF9-AB4E-25C04CD9C9CB}" name="Table11" displayName="Table11" ref="A1:AA30" totalsRowShown="0" headerRowDxfId="11" headerRowBorderDxfId="10" tableBorderDxfId="9">
  <autoFilter ref="A1:AA30" xr:uid="{45B424C5-03DC-4EF9-AB4E-25C04CD9C9CB}"/>
  <tableColumns count="27">
    <tableColumn id="1" xr3:uid="{B4DFDA4E-6C13-49F9-B89D-E8F531E6A08A}" name="Name"/>
    <tableColumn id="2" xr3:uid="{B4463D31-4141-4BBA-A60D-FB627CD11703}" name="weight"/>
    <tableColumn id="3" xr3:uid="{8881843F-145F-4444-8BCA-EFB00AE53F41}" name="size"/>
    <tableColumn id="4" xr3:uid="{E69E42FE-7EF1-4FEB-B7C1-0F3A2C054372}" name="Cost"/>
    <tableColumn id="5" xr3:uid="{C69003C3-C18B-4AC7-85B8-3DE3449AF063}" name="two handed"/>
    <tableColumn id="6" xr3:uid="{28995A57-0D41-4773-BA4E-15F7D175FF43}" name="Block both hands"/>
    <tableColumn id="7" xr3:uid="{1BD2880E-2E3F-4183-8284-DE12637DCCA8}" name="One hand pen."/>
    <tableColumn id="8" xr3:uid="{DB3A6941-F5F5-4926-9FF1-43A084E36271}" name="kneel bonus"/>
    <tableColumn id="9" xr3:uid="{9995DCE6-B814-4EF5-A4C0-6800019559DD}" name="tuAimed"/>
    <tableColumn id="10" xr3:uid="{115F0D4F-F3E7-4E51-B451-968971708118}" name="tuSnap"/>
    <tableColumn id="11" xr3:uid="{CF6840F6-9E57-4D44-8A2A-9D204DF74C39}" name="tuAuto"/>
    <tableColumn id="12" xr3:uid="{0A937485-FBC6-49C5-B8AE-C800F973890D}" name="accAimed"/>
    <tableColumn id="13" xr3:uid="{4328C37A-87EC-48EA-BE9F-370EBD77388B}" name="accSnap"/>
    <tableColumn id="14" xr3:uid="{4A010C04-0C76-409B-99EB-F691A65F93C9}" name="accAuto"/>
    <tableColumn id="15" xr3:uid="{FA468B90-9D66-4B44-B550-21C8F79DB1B2}" name="rangeAimed"/>
    <tableColumn id="16" xr3:uid="{C475C331-79E1-40D1-B918-3A06A65FDF4C}" name="rangeSnap"/>
    <tableColumn id="17" xr3:uid="{863B5794-5C05-49DD-A3F3-05CBAB10C368}" name="rangeAuto"/>
    <tableColumn id="18" xr3:uid="{831CC066-31E2-4EB8-8864-1C8F04E06B7F}" name="maxRange"/>
    <tableColumn id="19" xr3:uid="{0E78B47A-3403-46D4-8C59-C59527C82CE9}" name="minRange"/>
    <tableColumn id="20" xr3:uid="{4F64F8A8-59AA-4E02-B898-6B4FFCFCF800}" name="Aimed shots"/>
    <tableColumn id="21" xr3:uid="{1412256E-4EC2-46E1-A3FA-18A90CE213C5}" name="snap shots"/>
    <tableColumn id="22" xr3:uid="{47A72376-F2C4-4239-893C-3DDCF8E7B76C}" name="auto shots"/>
    <tableColumn id="23" xr3:uid="{4730B74B-4CB6-474E-B58E-416894E9A957}" name="Caliber"/>
    <tableColumn id="24" xr3:uid="{C8F5086E-E8C8-4E80-85BE-6172D08EBE0D}" name="Power"/>
    <tableColumn id="25" xr3:uid="{7794EB06-9A67-448B-8780-CD840572B9FC}" name="toArmorPre"/>
    <tableColumn id="26" xr3:uid="{FF5229AB-D86C-4B40-8039-76B9ECF3E240}" name="Mag sizes"/>
    <tableColumn id="27" xr3:uid="{FCA117CD-7613-4DC2-88D8-9BCF6EAFDA5C}" name="Notes: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A3547-9A13-4490-8F2C-86A75C183266}" name="Table1" displayName="Table1" ref="A1:AB12" totalsRowShown="0" headerRowDxfId="8" headerRowBorderDxfId="7" tableBorderDxfId="6">
  <autoFilter ref="A1:AB12" xr:uid="{AEDA3547-9A13-4490-8F2C-86A75C183266}"/>
  <tableColumns count="28">
    <tableColumn id="1" xr3:uid="{FDEE9766-F3A6-4F13-BA12-421285A2A455}" name="Name"/>
    <tableColumn id="2" xr3:uid="{D410D561-60F9-4F73-9A13-43B6913A0690}" name="weight"/>
    <tableColumn id="3" xr3:uid="{F52FB431-566E-47CA-A707-D09AFBEA719C}" name="size"/>
    <tableColumn id="4" xr3:uid="{302778CD-BF81-41AD-80CB-6C27068489EB}" name="Cost"/>
    <tableColumn id="5" xr3:uid="{B4624914-F927-42A2-87CF-25BA1FE528B4}" name="two handed"/>
    <tableColumn id="6" xr3:uid="{E60BF7A4-1BB5-4C2A-8D7D-640B9959177E}" name="One hand pen."/>
    <tableColumn id="7" xr3:uid="{95672319-74C9-4856-8349-A0F40DC19C10}" name="kneel bonus"/>
    <tableColumn id="8" xr3:uid="{A6254008-A0CC-4D61-A194-0C43D8D6D68D}" name="Choke"/>
    <tableColumn id="9" xr3:uid="{8E3D8316-F52D-489D-B97C-32FBA5905EA9}" name="tuAimed"/>
    <tableColumn id="10" xr3:uid="{24FB7315-1A58-4418-9C56-D685FFD5965D}" name="tuSnap"/>
    <tableColumn id="11" xr3:uid="{A3E402D6-25D9-4C9F-B59C-6EAF018D4A5C}" name="tuAuto"/>
    <tableColumn id="12" xr3:uid="{2784E451-22BC-4FF8-A8B6-D1068389B0F3}" name="accAimed"/>
    <tableColumn id="13" xr3:uid="{3F59096C-56CB-4220-BD3D-DF95B9FAB983}" name="accSnap"/>
    <tableColumn id="14" xr3:uid="{9BA05E9D-6855-478F-98DE-2BE98D24AB3A}" name="accAuto"/>
    <tableColumn id="15" xr3:uid="{10D41355-6EF9-4C0B-8B21-3F95A0C8CDC3}" name="rangeAimed"/>
    <tableColumn id="16" xr3:uid="{CF128700-214F-4BC2-B80D-3B78FCAD8666}" name="rangeSnap"/>
    <tableColumn id="17" xr3:uid="{132DDEBA-5899-4B91-9262-0918EC9D3712}" name="rangeAuto"/>
    <tableColumn id="18" xr3:uid="{025DFE45-8DAE-41FC-90B1-AD55B2B7BC7C}" name="maxRange"/>
    <tableColumn id="19" xr3:uid="{67BA92CF-26FA-4E63-AF73-9464163BF6A2}" name="minRange"/>
    <tableColumn id="20" xr3:uid="{7238D38B-4CC7-4953-A033-F1085864807B}" name="Aimed shots"/>
    <tableColumn id="21" xr3:uid="{B7108854-1FF3-4C7E-9E81-FA120777BB50}" name="snap shots"/>
    <tableColumn id="22" xr3:uid="{3D15A85D-6056-46F9-81C5-BE705EBCBB82}" name="auto shots"/>
    <tableColumn id="23" xr3:uid="{72FC145E-D2B9-496F-BDAF-CBCC5D09CFBB}" name="Caliber"/>
    <tableColumn id="24" xr3:uid="{7E1FF7E9-F23F-4625-B9A3-6C267C0B0068}" name="Power"/>
    <tableColumn id="25" xr3:uid="{221A7071-7F55-4302-917C-C36EBED6DF75}" name="Pellets"/>
    <tableColumn id="26" xr3:uid="{D770EB34-F067-4068-B586-2B9DEB3FCFC0}" name="toArmorPre"/>
    <tableColumn id="27" xr3:uid="{23BED2AC-1D4D-4329-A3E7-723133D53591}" name="Mag sizes"/>
    <tableColumn id="28" xr3:uid="{0ACCC85E-2E2F-4D39-BD29-E88F5B5D4EE0}" name="Notes: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36A2CF-DAA4-4B61-B862-8F0D47D69557}" name="Table3" displayName="Table3" ref="A1:AB15" totalsRowShown="0" headerRowDxfId="5" headerRowBorderDxfId="4" tableBorderDxfId="3">
  <autoFilter ref="A1:AB15" xr:uid="{7B36A2CF-DAA4-4B61-B862-8F0D47D69557}"/>
  <sortState xmlns:xlrd2="http://schemas.microsoft.com/office/spreadsheetml/2017/richdata2" ref="A2:AB8">
    <sortCondition ref="M1:M14"/>
  </sortState>
  <tableColumns count="28">
    <tableColumn id="1" xr3:uid="{A8BBADB3-0AE9-45E8-9C77-42482A2CF767}" name="Name"/>
    <tableColumn id="2" xr3:uid="{4BB894CD-D6CC-494C-8E57-A9C2E0592C4E}" name="weight"/>
    <tableColumn id="3" xr3:uid="{55D5DA56-1868-4260-8702-A77EACCF3E7D}" name="size"/>
    <tableColumn id="4" xr3:uid="{1285ED64-A2C7-4830-94B8-AD696335E2C5}" name="Cost"/>
    <tableColumn id="5" xr3:uid="{A23E186F-C187-44FB-B585-4A8E36EE132A}" name="two handed"/>
    <tableColumn id="6" xr3:uid="{5857068C-DFFD-462E-B6E6-73EC8AF5423A}" name="Block both hands"/>
    <tableColumn id="7" xr3:uid="{F4D2F080-1823-4F86-AC75-82F8DD2A002A}" name="One hand pen."/>
    <tableColumn id="8" xr3:uid="{0257D052-3698-40DE-B671-E88F12BABC17}" name="kneel bonus"/>
    <tableColumn id="9" xr3:uid="{D5D46CF5-B852-45E4-AFBF-7079937AC411}" name="tuAimed"/>
    <tableColumn id="10" xr3:uid="{D7BBD5B7-2006-493D-B269-5C22D72C7BB7}" name="tuSnap"/>
    <tableColumn id="11" xr3:uid="{E2E24967-DA52-4959-BF06-77ABD2C9A3E7}" name="tuAuto"/>
    <tableColumn id="12" xr3:uid="{D375E6F3-E2FC-43AD-994B-302B19743905}" name="accAimed"/>
    <tableColumn id="13" xr3:uid="{2E4C8BA5-288E-4D6F-B43C-9FA8044F2E42}" name="accSnap"/>
    <tableColumn id="14" xr3:uid="{21A676DD-BCDC-49C3-A8C0-B7BC9217CB52}" name="accAuto"/>
    <tableColumn id="15" xr3:uid="{369DE6FB-8E65-49A3-89B5-0804E900DA2A}" name="rangeAimed"/>
    <tableColumn id="16" xr3:uid="{F1E9ADC8-DBBD-442D-B390-9ECE93FEB4D2}" name="rangeSnap"/>
    <tableColumn id="17" xr3:uid="{21DAF817-7B86-4F34-84CB-FAFBBC5FE476}" name="rangeAuto"/>
    <tableColumn id="18" xr3:uid="{0500C1D3-8E98-462B-8E61-4141DA94A55F}" name="maxRange"/>
    <tableColumn id="19" xr3:uid="{8090DF43-6704-4592-A789-709321B97EC1}" name="minRange"/>
    <tableColumn id="28" xr3:uid="{C20A88B7-0836-4B21-BD6E-76E0A1B95104}" name="Movement pen."/>
    <tableColumn id="20" xr3:uid="{A262F3D1-6339-46F9-A86A-F76EC3AD31DF}" name="Aimed shots"/>
    <tableColumn id="21" xr3:uid="{6922DAA8-0EAD-4280-95AC-BA4DFDA1778A}" name="snap shots"/>
    <tableColumn id="22" xr3:uid="{5014F934-0FCB-42FF-BD38-D462B9CDFF7A}" name="auto shots"/>
    <tableColumn id="23" xr3:uid="{649F4175-D617-4784-9155-EEBA8244755F}" name="Caliber"/>
    <tableColumn id="24" xr3:uid="{1DFC8A51-6301-4D02-BEB5-A3F5C44197A9}" name="Power"/>
    <tableColumn id="25" xr3:uid="{5CA358F0-BB98-4F17-BAFA-0F622760655B}" name="toArmorPre"/>
    <tableColumn id="26" xr3:uid="{889BBB68-DD77-4BB6-A4A2-E9618E724898}" name="Mag sizes"/>
    <tableColumn id="27" xr3:uid="{903AE87C-2A88-4AAC-B3AC-3656F921ECC0}" name="Notes: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905360-5683-445F-9462-84BE18993171}" name="Table4" displayName="Table4" ref="A1:AA16" totalsRowShown="0" headerRowDxfId="2" headerRowBorderDxfId="1" tableBorderDxfId="0">
  <autoFilter ref="A1:AA16" xr:uid="{B1905360-5683-445F-9462-84BE18993171}"/>
  <tableColumns count="27">
    <tableColumn id="1" xr3:uid="{97A5C511-EF1D-4C4C-9606-80A9E8EBCC5F}" name="Name"/>
    <tableColumn id="2" xr3:uid="{412BE7BC-0513-4A48-A527-FD26BD1702B3}" name="weight"/>
    <tableColumn id="3" xr3:uid="{7C5FE17A-2477-4D29-8713-3B0AFB7A181F}" name="size"/>
    <tableColumn id="4" xr3:uid="{C32F81E8-CA36-4A43-B512-8DAF8CB5AA0F}" name="Cost"/>
    <tableColumn id="5" xr3:uid="{D3D26292-5D77-4690-8A16-8998D6A6599D}" name="two handed"/>
    <tableColumn id="6" xr3:uid="{312BABF5-340C-4E06-B3D0-B68BF602631D}" name="Block both hands"/>
    <tableColumn id="7" xr3:uid="{9B506AEA-C97C-40AD-8EC5-2D3E17DFA786}" name="One hand pen."/>
    <tableColumn id="8" xr3:uid="{E5FEA340-C7FF-49B3-A5EF-5E345F2823A4}" name="kneel bonus"/>
    <tableColumn id="9" xr3:uid="{8A9D0B83-7D6F-4833-AB9F-D6E96964D4C8}" name="tuAimed"/>
    <tableColumn id="10" xr3:uid="{0DD7F115-1AAB-42CB-9A3B-F350B070EAEE}" name="tuSnap"/>
    <tableColumn id="11" xr3:uid="{9939261A-22C4-442D-AF6D-930273EB0950}" name="tuAuto"/>
    <tableColumn id="12" xr3:uid="{70768873-E9CB-4A7D-BBD4-3E09E71F772B}" name="accAimed"/>
    <tableColumn id="13" xr3:uid="{814BC88A-D906-45BA-8E1E-7C6C46FC82EF}" name="accSnap"/>
    <tableColumn id="14" xr3:uid="{6EC57AA5-45AB-4D95-B7DD-34CFB7A19B7A}" name="accAuto"/>
    <tableColumn id="15" xr3:uid="{884C4054-3129-4463-B07F-ED6386427C41}" name="rangeAimed"/>
    <tableColumn id="16" xr3:uid="{53878A00-66F5-4525-B769-2CAC370504CA}" name="rangeSnap"/>
    <tableColumn id="17" xr3:uid="{B08FFE64-6EB3-4993-8456-991677C4F518}" name="rangeAuto"/>
    <tableColumn id="18" xr3:uid="{3304F2D6-FF61-46F3-AB0A-4B9399BAEEA7}" name="maxRange"/>
    <tableColumn id="19" xr3:uid="{E7CFF68E-BD1C-46F6-BEC8-323E179B42BC}" name="minRange"/>
    <tableColumn id="20" xr3:uid="{A3E9F95C-202A-4228-9E3F-857ADCE3E01D}" name="Aimed shots"/>
    <tableColumn id="21" xr3:uid="{CA315C22-A448-4BB2-957C-3B390EB5524F}" name="snap shots"/>
    <tableColumn id="22" xr3:uid="{BE14DF6C-A31C-437D-8669-699B91661BEC}" name="auto shots"/>
    <tableColumn id="23" xr3:uid="{A62009E5-46F3-4660-B077-1CAE8AC97C20}" name="Caliber"/>
    <tableColumn id="24" xr3:uid="{26CD8927-B537-4B1E-B59C-A7541B875CD4}" name="Power"/>
    <tableColumn id="25" xr3:uid="{C938A46F-0735-449B-A20E-DC3ED029560B}" name="toArmorPre"/>
    <tableColumn id="26" xr3:uid="{9771B0EC-9D32-4C83-ACBA-C25710FEFFC6}" name="Mag sizes"/>
    <tableColumn id="27" xr3:uid="{C84AE4EC-406B-426D-B069-C2AD714022B4}" name="Notes: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E0F0-C0B0-45B8-AA00-1AE0F467FE87}">
  <dimension ref="A1:S49"/>
  <sheetViews>
    <sheetView workbookViewId="0">
      <selection activeCell="C14" sqref="C14"/>
    </sheetView>
  </sheetViews>
  <sheetFormatPr defaultRowHeight="15" x14ac:dyDescent="0.25"/>
  <cols>
    <col min="1" max="1" width="14.140625" customWidth="1"/>
    <col min="2" max="2" width="22" customWidth="1"/>
    <col min="4" max="4" width="13.85546875" customWidth="1"/>
    <col min="5" max="5" width="14.85546875" customWidth="1"/>
    <col min="6" max="6" width="14.7109375" customWidth="1"/>
    <col min="7" max="7" width="14.85546875" customWidth="1"/>
    <col min="8" max="8" width="14.7109375" customWidth="1"/>
    <col min="9" max="9" width="131.85546875" customWidth="1"/>
    <col min="12" max="12" width="20.28515625" customWidth="1"/>
  </cols>
  <sheetData>
    <row r="1" spans="1:17" x14ac:dyDescent="0.25">
      <c r="A1" s="2" t="s">
        <v>17</v>
      </c>
      <c r="B1" t="s">
        <v>0</v>
      </c>
      <c r="C1" t="s">
        <v>2</v>
      </c>
      <c r="D1" t="s">
        <v>4</v>
      </c>
      <c r="E1" t="s">
        <v>6</v>
      </c>
      <c r="F1" t="s">
        <v>7</v>
      </c>
      <c r="G1" t="s">
        <v>56</v>
      </c>
      <c r="H1" t="s">
        <v>57</v>
      </c>
      <c r="I1" t="s">
        <v>21</v>
      </c>
    </row>
    <row r="2" spans="1:17" x14ac:dyDescent="0.25">
      <c r="A2" s="2"/>
      <c r="B2" s="1" t="s">
        <v>8</v>
      </c>
      <c r="C2" s="1">
        <v>40</v>
      </c>
      <c r="D2" s="1">
        <v>0</v>
      </c>
      <c r="E2" s="1">
        <v>6</v>
      </c>
      <c r="F2" s="1">
        <v>6</v>
      </c>
      <c r="G2" s="1"/>
      <c r="H2" s="1"/>
      <c r="I2" s="1" t="s">
        <v>24</v>
      </c>
      <c r="M2" s="12"/>
      <c r="N2" s="13"/>
      <c r="O2" s="13"/>
      <c r="P2" s="13"/>
      <c r="Q2" s="13"/>
    </row>
    <row r="3" spans="1:17" x14ac:dyDescent="0.25">
      <c r="A3" s="3"/>
      <c r="B3" t="s">
        <v>10</v>
      </c>
      <c r="C3">
        <v>26</v>
      </c>
      <c r="D3">
        <v>0</v>
      </c>
      <c r="E3">
        <v>6</v>
      </c>
      <c r="F3">
        <v>1</v>
      </c>
      <c r="M3" s="14"/>
    </row>
    <row r="4" spans="1:17" x14ac:dyDescent="0.25">
      <c r="A4" s="3"/>
      <c r="B4" t="s">
        <v>95</v>
      </c>
      <c r="C4">
        <v>29</v>
      </c>
      <c r="D4">
        <v>0</v>
      </c>
      <c r="E4">
        <v>6</v>
      </c>
      <c r="F4">
        <v>1</v>
      </c>
      <c r="M4" s="15"/>
      <c r="N4" s="10"/>
      <c r="O4" s="10"/>
      <c r="P4" s="10"/>
      <c r="Q4" s="10"/>
    </row>
    <row r="5" spans="1:17" x14ac:dyDescent="0.25">
      <c r="A5" s="3"/>
      <c r="B5" t="s">
        <v>12</v>
      </c>
      <c r="C5">
        <v>31</v>
      </c>
      <c r="D5">
        <v>0</v>
      </c>
      <c r="E5">
        <v>6</v>
      </c>
      <c r="F5">
        <v>1</v>
      </c>
      <c r="M5" s="14"/>
    </row>
    <row r="6" spans="1:17" x14ac:dyDescent="0.25">
      <c r="A6" s="3"/>
      <c r="B6" t="s">
        <v>16</v>
      </c>
      <c r="C6">
        <v>34</v>
      </c>
      <c r="D6">
        <v>0.4</v>
      </c>
      <c r="E6">
        <v>6</v>
      </c>
      <c r="F6">
        <v>1</v>
      </c>
      <c r="M6" s="15"/>
      <c r="N6" s="10"/>
      <c r="O6" s="10"/>
      <c r="P6" s="10"/>
      <c r="Q6" s="10"/>
    </row>
    <row r="7" spans="1:17" x14ac:dyDescent="0.25">
      <c r="A7" s="3"/>
      <c r="B7" t="s">
        <v>15</v>
      </c>
      <c r="C7">
        <v>33</v>
      </c>
      <c r="D7">
        <v>0.4</v>
      </c>
      <c r="E7">
        <v>6</v>
      </c>
      <c r="F7">
        <v>1</v>
      </c>
      <c r="M7" s="14"/>
    </row>
    <row r="8" spans="1:17" x14ac:dyDescent="0.25">
      <c r="A8" s="3"/>
      <c r="B8" t="s">
        <v>13</v>
      </c>
      <c r="C8">
        <v>32</v>
      </c>
      <c r="D8">
        <v>0.3</v>
      </c>
      <c r="E8">
        <v>6</v>
      </c>
      <c r="F8">
        <v>1</v>
      </c>
      <c r="M8" s="15"/>
      <c r="N8" s="10"/>
      <c r="O8" s="10"/>
      <c r="P8" s="10"/>
      <c r="Q8" s="10"/>
    </row>
    <row r="9" spans="1:17" x14ac:dyDescent="0.25">
      <c r="A9" s="3"/>
      <c r="B9" t="s">
        <v>14</v>
      </c>
      <c r="C9">
        <v>35</v>
      </c>
      <c r="D9">
        <v>0.1</v>
      </c>
      <c r="E9">
        <v>6</v>
      </c>
      <c r="F9">
        <v>1</v>
      </c>
      <c r="M9" s="16"/>
      <c r="N9" s="11"/>
      <c r="O9" s="11"/>
      <c r="P9" s="11"/>
      <c r="Q9" s="11"/>
    </row>
    <row r="10" spans="1:17" x14ac:dyDescent="0.25">
      <c r="A10" s="3"/>
      <c r="B10" t="s">
        <v>423</v>
      </c>
      <c r="C10">
        <v>40</v>
      </c>
      <c r="D10">
        <v>0</v>
      </c>
      <c r="E10">
        <v>6</v>
      </c>
      <c r="F10">
        <v>1</v>
      </c>
      <c r="I10" t="s">
        <v>425</v>
      </c>
    </row>
    <row r="11" spans="1:17" x14ac:dyDescent="0.25">
      <c r="A11" s="56"/>
      <c r="B11" t="s">
        <v>439</v>
      </c>
      <c r="C11">
        <v>30</v>
      </c>
      <c r="D11">
        <v>0.35</v>
      </c>
      <c r="E11">
        <v>6</v>
      </c>
      <c r="F11">
        <v>1</v>
      </c>
      <c r="M11" s="12" t="s">
        <v>18</v>
      </c>
      <c r="N11" s="13">
        <v>35</v>
      </c>
      <c r="O11" s="13">
        <v>0.3</v>
      </c>
      <c r="P11" s="13">
        <v>6</v>
      </c>
      <c r="Q11" s="13">
        <v>1</v>
      </c>
    </row>
    <row r="12" spans="1:17" x14ac:dyDescent="0.25">
      <c r="A12" s="55" t="s">
        <v>22</v>
      </c>
      <c r="B12" t="s">
        <v>0</v>
      </c>
      <c r="C12" t="s">
        <v>2</v>
      </c>
      <c r="D12" t="s">
        <v>4</v>
      </c>
      <c r="E12" t="s">
        <v>6</v>
      </c>
      <c r="F12" t="s">
        <v>7</v>
      </c>
      <c r="G12" t="s">
        <v>56</v>
      </c>
      <c r="H12" t="s">
        <v>57</v>
      </c>
      <c r="I12" t="s">
        <v>21</v>
      </c>
      <c r="M12" s="14" t="s">
        <v>19</v>
      </c>
      <c r="N12">
        <v>36</v>
      </c>
      <c r="O12">
        <v>0.3</v>
      </c>
      <c r="P12">
        <v>6</v>
      </c>
      <c r="Q12">
        <v>1</v>
      </c>
    </row>
    <row r="13" spans="1:17" x14ac:dyDescent="0.25">
      <c r="A13" s="4"/>
      <c r="B13" s="1" t="s">
        <v>18</v>
      </c>
      <c r="C13" s="1">
        <v>35</v>
      </c>
      <c r="D13" s="1">
        <v>0.3</v>
      </c>
      <c r="E13" s="1">
        <v>6</v>
      </c>
      <c r="F13" s="1">
        <v>1</v>
      </c>
      <c r="G13" s="1"/>
      <c r="H13" s="1"/>
      <c r="I13" s="1"/>
      <c r="M13" s="15" t="s">
        <v>20</v>
      </c>
      <c r="N13" s="10">
        <v>37</v>
      </c>
      <c r="O13" s="10">
        <v>0.4</v>
      </c>
      <c r="P13" s="10">
        <v>6</v>
      </c>
      <c r="Q13" s="10">
        <v>1</v>
      </c>
    </row>
    <row r="14" spans="1:17" x14ac:dyDescent="0.25">
      <c r="A14" s="5"/>
      <c r="B14" t="s">
        <v>19</v>
      </c>
      <c r="C14">
        <v>36</v>
      </c>
      <c r="D14">
        <v>0.3</v>
      </c>
      <c r="E14">
        <v>6</v>
      </c>
      <c r="F14">
        <v>1</v>
      </c>
      <c r="M14" s="14" t="s">
        <v>23</v>
      </c>
      <c r="N14">
        <v>33</v>
      </c>
      <c r="O14">
        <v>0</v>
      </c>
      <c r="P14">
        <v>6</v>
      </c>
      <c r="Q14">
        <v>1</v>
      </c>
    </row>
    <row r="15" spans="1:17" x14ac:dyDescent="0.25">
      <c r="A15" s="5"/>
      <c r="B15" t="s">
        <v>120</v>
      </c>
      <c r="C15">
        <v>37</v>
      </c>
      <c r="D15">
        <v>0.4</v>
      </c>
      <c r="E15">
        <v>6</v>
      </c>
      <c r="F15">
        <v>1</v>
      </c>
      <c r="M15" s="15" t="s">
        <v>25</v>
      </c>
      <c r="N15" s="10">
        <v>43</v>
      </c>
      <c r="O15" s="10">
        <v>0.6</v>
      </c>
      <c r="P15" s="10">
        <v>6</v>
      </c>
      <c r="Q15" s="10">
        <v>1</v>
      </c>
    </row>
    <row r="16" spans="1:17" x14ac:dyDescent="0.25">
      <c r="A16" s="5"/>
      <c r="B16" t="s">
        <v>23</v>
      </c>
      <c r="C16">
        <v>28</v>
      </c>
      <c r="D16">
        <v>0</v>
      </c>
      <c r="E16">
        <v>6</v>
      </c>
      <c r="F16">
        <v>1</v>
      </c>
      <c r="M16" s="14" t="s">
        <v>26</v>
      </c>
      <c r="N16">
        <v>45</v>
      </c>
      <c r="O16">
        <v>0.6</v>
      </c>
      <c r="P16">
        <v>6</v>
      </c>
      <c r="Q16">
        <v>1</v>
      </c>
    </row>
    <row r="17" spans="1:19" x14ac:dyDescent="0.25">
      <c r="A17" s="5"/>
      <c r="B17" t="s">
        <v>25</v>
      </c>
      <c r="C17">
        <v>43</v>
      </c>
      <c r="D17">
        <v>0.6</v>
      </c>
      <c r="E17">
        <v>6</v>
      </c>
      <c r="F17">
        <v>1</v>
      </c>
      <c r="M17" s="15" t="s">
        <v>27</v>
      </c>
      <c r="N17" s="10">
        <v>49</v>
      </c>
      <c r="O17" s="10">
        <v>0.7</v>
      </c>
      <c r="P17" s="10">
        <v>6</v>
      </c>
      <c r="Q17" s="10">
        <v>1</v>
      </c>
    </row>
    <row r="18" spans="1:19" x14ac:dyDescent="0.25">
      <c r="A18" s="5"/>
      <c r="B18" t="s">
        <v>26</v>
      </c>
      <c r="C18">
        <v>45</v>
      </c>
      <c r="D18">
        <v>0.6</v>
      </c>
      <c r="E18">
        <v>6</v>
      </c>
      <c r="F18">
        <v>1</v>
      </c>
      <c r="M18" s="14" t="s">
        <v>28</v>
      </c>
      <c r="N18">
        <v>51</v>
      </c>
      <c r="O18">
        <v>0.7</v>
      </c>
      <c r="P18">
        <v>6</v>
      </c>
      <c r="Q18">
        <v>1</v>
      </c>
    </row>
    <row r="19" spans="1:19" x14ac:dyDescent="0.25">
      <c r="A19" s="5"/>
      <c r="B19" t="s">
        <v>27</v>
      </c>
      <c r="C19">
        <v>49</v>
      </c>
      <c r="D19">
        <v>0.7</v>
      </c>
      <c r="E19">
        <v>6</v>
      </c>
      <c r="F19">
        <v>1</v>
      </c>
      <c r="M19" s="15" t="s">
        <v>30</v>
      </c>
      <c r="N19" s="10">
        <v>61</v>
      </c>
      <c r="O19" s="10">
        <v>0.8</v>
      </c>
      <c r="P19" s="10">
        <v>6</v>
      </c>
      <c r="Q19" s="10">
        <v>1</v>
      </c>
    </row>
    <row r="20" spans="1:19" x14ac:dyDescent="0.25">
      <c r="A20" s="5"/>
      <c r="B20" t="s">
        <v>28</v>
      </c>
      <c r="C20">
        <v>51</v>
      </c>
      <c r="D20">
        <v>0.7</v>
      </c>
      <c r="E20">
        <v>6</v>
      </c>
      <c r="F20">
        <v>1</v>
      </c>
      <c r="M20" s="14" t="s">
        <v>29</v>
      </c>
      <c r="N20">
        <v>70</v>
      </c>
      <c r="O20">
        <v>1</v>
      </c>
      <c r="P20">
        <v>6</v>
      </c>
      <c r="Q20">
        <v>1</v>
      </c>
    </row>
    <row r="21" spans="1:19" x14ac:dyDescent="0.25">
      <c r="A21" s="5"/>
      <c r="B21" t="s">
        <v>30</v>
      </c>
      <c r="C21">
        <v>61</v>
      </c>
      <c r="D21">
        <v>0.8</v>
      </c>
      <c r="E21">
        <v>6</v>
      </c>
      <c r="F21">
        <v>1</v>
      </c>
      <c r="M21" s="17" t="s">
        <v>31</v>
      </c>
      <c r="N21" s="18">
        <v>75</v>
      </c>
      <c r="O21" s="18">
        <v>1</v>
      </c>
      <c r="P21" s="18">
        <v>6</v>
      </c>
      <c r="Q21" s="18">
        <v>1</v>
      </c>
    </row>
    <row r="22" spans="1:19" x14ac:dyDescent="0.25">
      <c r="A22" s="5"/>
      <c r="B22" t="s">
        <v>29</v>
      </c>
      <c r="C22">
        <v>70</v>
      </c>
      <c r="D22">
        <v>1</v>
      </c>
      <c r="E22">
        <v>6</v>
      </c>
      <c r="F22">
        <v>1</v>
      </c>
    </row>
    <row r="23" spans="1:19" x14ac:dyDescent="0.25">
      <c r="A23" s="5"/>
      <c r="B23" t="s">
        <v>31</v>
      </c>
      <c r="C23">
        <v>75</v>
      </c>
      <c r="D23">
        <v>1</v>
      </c>
      <c r="E23">
        <v>6</v>
      </c>
      <c r="F23">
        <v>1</v>
      </c>
      <c r="M23" s="12" t="s">
        <v>33</v>
      </c>
      <c r="N23" s="13">
        <v>25</v>
      </c>
      <c r="O23" s="13">
        <v>10</v>
      </c>
      <c r="P23" s="13">
        <v>100</v>
      </c>
      <c r="Q23" s="13">
        <v>0</v>
      </c>
      <c r="R23" s="13">
        <v>1</v>
      </c>
      <c r="S23" s="13">
        <v>1</v>
      </c>
    </row>
    <row r="24" spans="1:19" x14ac:dyDescent="0.25">
      <c r="A24" s="5"/>
      <c r="B24" t="s">
        <v>539</v>
      </c>
      <c r="C24">
        <v>40</v>
      </c>
      <c r="D24">
        <v>0.5</v>
      </c>
      <c r="E24">
        <v>6</v>
      </c>
      <c r="F24">
        <v>1</v>
      </c>
      <c r="M24" s="14" t="s">
        <v>34</v>
      </c>
      <c r="N24">
        <v>45</v>
      </c>
      <c r="O24">
        <v>1</v>
      </c>
      <c r="P24" t="s">
        <v>9</v>
      </c>
      <c r="Q24">
        <v>0.7</v>
      </c>
      <c r="R24">
        <v>6</v>
      </c>
      <c r="S24">
        <v>1</v>
      </c>
    </row>
    <row r="25" spans="1:19" x14ac:dyDescent="0.25">
      <c r="A25" s="6" t="s">
        <v>32</v>
      </c>
      <c r="B25" s="11" t="s">
        <v>0</v>
      </c>
      <c r="C25" s="11" t="s">
        <v>2</v>
      </c>
      <c r="D25" s="11" t="s">
        <v>1</v>
      </c>
      <c r="E25" s="11" t="s">
        <v>3</v>
      </c>
      <c r="F25" s="11" t="s">
        <v>4</v>
      </c>
      <c r="G25" s="11" t="s">
        <v>6</v>
      </c>
      <c r="H25" s="11" t="s">
        <v>7</v>
      </c>
      <c r="I25" t="s">
        <v>21</v>
      </c>
      <c r="M25" s="15" t="s">
        <v>35</v>
      </c>
      <c r="N25" s="10">
        <v>10</v>
      </c>
      <c r="O25" s="10">
        <v>10</v>
      </c>
      <c r="P25" s="10">
        <v>100</v>
      </c>
      <c r="Q25" s="10">
        <v>0</v>
      </c>
      <c r="R25" s="10">
        <v>1</v>
      </c>
      <c r="S25" s="10">
        <v>1</v>
      </c>
    </row>
    <row r="26" spans="1:19" x14ac:dyDescent="0.25">
      <c r="A26" s="6"/>
      <c r="B26" s="1" t="s">
        <v>33</v>
      </c>
      <c r="C26" s="1">
        <v>18</v>
      </c>
      <c r="D26" s="1">
        <v>10</v>
      </c>
      <c r="E26" s="1">
        <v>0</v>
      </c>
      <c r="F26" s="1">
        <v>0</v>
      </c>
      <c r="G26" s="1">
        <v>1</v>
      </c>
      <c r="H26" s="1">
        <v>1</v>
      </c>
      <c r="I26" s="1"/>
      <c r="M26" s="14" t="s">
        <v>37</v>
      </c>
      <c r="N26">
        <v>25</v>
      </c>
      <c r="O26">
        <v>20</v>
      </c>
      <c r="P26">
        <v>100</v>
      </c>
      <c r="Q26">
        <v>0</v>
      </c>
      <c r="R26">
        <v>1</v>
      </c>
      <c r="S26">
        <v>1</v>
      </c>
    </row>
    <row r="27" spans="1:19" x14ac:dyDescent="0.25">
      <c r="A27" s="7"/>
      <c r="B27" t="s">
        <v>34</v>
      </c>
      <c r="C27">
        <v>45</v>
      </c>
      <c r="D27">
        <v>1</v>
      </c>
      <c r="E27" t="s">
        <v>9</v>
      </c>
      <c r="F27">
        <v>0.7</v>
      </c>
      <c r="G27">
        <v>6</v>
      </c>
      <c r="H27">
        <v>1</v>
      </c>
      <c r="M27" s="15" t="s">
        <v>38</v>
      </c>
      <c r="N27" s="10">
        <v>55</v>
      </c>
      <c r="O27" s="10">
        <v>1</v>
      </c>
      <c r="P27" s="10" t="s">
        <v>9</v>
      </c>
      <c r="Q27" s="10">
        <v>1</v>
      </c>
      <c r="R27" s="10">
        <v>6</v>
      </c>
      <c r="S27" s="10">
        <v>1</v>
      </c>
    </row>
    <row r="28" spans="1:19" x14ac:dyDescent="0.25">
      <c r="A28" s="7"/>
      <c r="B28" t="s">
        <v>35</v>
      </c>
      <c r="C28">
        <v>10</v>
      </c>
      <c r="D28">
        <v>10</v>
      </c>
      <c r="E28">
        <v>0</v>
      </c>
      <c r="F28">
        <v>0</v>
      </c>
      <c r="G28">
        <v>1</v>
      </c>
      <c r="H28">
        <v>10</v>
      </c>
      <c r="I28" t="s">
        <v>36</v>
      </c>
      <c r="M28" s="16" t="s">
        <v>39</v>
      </c>
      <c r="N28" s="11">
        <v>10</v>
      </c>
      <c r="O28" s="11">
        <v>20</v>
      </c>
      <c r="P28" s="11">
        <v>100</v>
      </c>
      <c r="Q28" s="11">
        <v>0</v>
      </c>
      <c r="R28" s="11">
        <v>1</v>
      </c>
      <c r="S28" s="11">
        <v>1</v>
      </c>
    </row>
    <row r="29" spans="1:19" x14ac:dyDescent="0.25">
      <c r="A29" s="7"/>
      <c r="B29" t="s">
        <v>444</v>
      </c>
      <c r="C29">
        <v>18</v>
      </c>
      <c r="D29">
        <v>10</v>
      </c>
      <c r="E29">
        <v>0</v>
      </c>
      <c r="F29">
        <v>0</v>
      </c>
      <c r="G29">
        <v>1</v>
      </c>
      <c r="H29">
        <v>2</v>
      </c>
      <c r="I29" t="s">
        <v>445</v>
      </c>
    </row>
    <row r="30" spans="1:19" x14ac:dyDescent="0.25">
      <c r="A30" s="7"/>
      <c r="B30" t="s">
        <v>447</v>
      </c>
      <c r="C30">
        <v>10</v>
      </c>
      <c r="D30">
        <v>4</v>
      </c>
      <c r="E30">
        <v>25</v>
      </c>
      <c r="F30">
        <v>0</v>
      </c>
      <c r="G30">
        <v>1</v>
      </c>
      <c r="H30">
        <v>11</v>
      </c>
      <c r="I30" t="s">
        <v>448</v>
      </c>
      <c r="M30" s="12" t="s">
        <v>41</v>
      </c>
      <c r="N30" s="13">
        <v>50</v>
      </c>
      <c r="O30" s="13">
        <v>0.2</v>
      </c>
      <c r="P30" s="13">
        <v>3</v>
      </c>
      <c r="Q30" s="13">
        <v>1</v>
      </c>
      <c r="R30" s="13">
        <v>3</v>
      </c>
      <c r="S30" s="13"/>
    </row>
    <row r="31" spans="1:19" x14ac:dyDescent="0.25">
      <c r="A31" s="7"/>
      <c r="B31" t="s">
        <v>37</v>
      </c>
      <c r="C31">
        <v>18</v>
      </c>
      <c r="D31">
        <v>20</v>
      </c>
      <c r="E31">
        <v>0</v>
      </c>
      <c r="F31">
        <v>0</v>
      </c>
      <c r="G31">
        <v>1</v>
      </c>
      <c r="H31">
        <v>1</v>
      </c>
      <c r="M31" s="14" t="s">
        <v>43</v>
      </c>
      <c r="N31">
        <v>40</v>
      </c>
      <c r="O31">
        <v>0</v>
      </c>
      <c r="P31">
        <v>5</v>
      </c>
      <c r="Q31">
        <v>1</v>
      </c>
      <c r="R31">
        <v>9</v>
      </c>
    </row>
    <row r="32" spans="1:19" x14ac:dyDescent="0.25">
      <c r="A32" s="7"/>
      <c r="B32" t="s">
        <v>38</v>
      </c>
      <c r="C32">
        <v>55</v>
      </c>
      <c r="D32">
        <v>1</v>
      </c>
      <c r="E32" t="s">
        <v>9</v>
      </c>
      <c r="F32">
        <v>1</v>
      </c>
      <c r="G32">
        <v>6</v>
      </c>
      <c r="H32">
        <v>1</v>
      </c>
      <c r="M32" s="15" t="s">
        <v>45</v>
      </c>
      <c r="N32" s="10">
        <v>40</v>
      </c>
      <c r="O32" s="10">
        <v>0</v>
      </c>
      <c r="P32" s="10">
        <v>0</v>
      </c>
      <c r="Q32" s="10">
        <v>6</v>
      </c>
      <c r="R32" s="10">
        <v>1</v>
      </c>
      <c r="S32" s="10"/>
    </row>
    <row r="33" spans="1:19" x14ac:dyDescent="0.25">
      <c r="A33" s="7"/>
      <c r="B33" t="s">
        <v>39</v>
      </c>
      <c r="C33">
        <v>10</v>
      </c>
      <c r="D33">
        <v>20</v>
      </c>
      <c r="E33">
        <v>0</v>
      </c>
      <c r="F33">
        <v>0</v>
      </c>
      <c r="G33">
        <v>1</v>
      </c>
      <c r="H33">
        <v>10</v>
      </c>
      <c r="I33" t="s">
        <v>36</v>
      </c>
      <c r="M33" s="14" t="s">
        <v>47</v>
      </c>
      <c r="N33">
        <v>60</v>
      </c>
      <c r="O33">
        <v>0</v>
      </c>
      <c r="P33">
        <v>3</v>
      </c>
      <c r="Q33">
        <v>1</v>
      </c>
      <c r="R33">
        <v>1</v>
      </c>
    </row>
    <row r="34" spans="1:19" x14ac:dyDescent="0.25">
      <c r="A34" s="8" t="s">
        <v>40</v>
      </c>
      <c r="B34" s="11" t="s">
        <v>0</v>
      </c>
      <c r="C34" s="11" t="s">
        <v>2</v>
      </c>
      <c r="D34" s="11" t="s">
        <v>4</v>
      </c>
      <c r="E34" s="11" t="s">
        <v>5</v>
      </c>
      <c r="F34" s="11" t="s">
        <v>54</v>
      </c>
      <c r="G34" s="11" t="s">
        <v>55</v>
      </c>
      <c r="H34" s="11" t="s">
        <v>56</v>
      </c>
      <c r="I34" t="s">
        <v>21</v>
      </c>
      <c r="M34" s="15" t="s">
        <v>49</v>
      </c>
      <c r="N34" s="10">
        <v>200</v>
      </c>
      <c r="O34" s="10">
        <v>1</v>
      </c>
      <c r="P34" s="10">
        <v>3</v>
      </c>
      <c r="Q34" s="10">
        <v>1</v>
      </c>
      <c r="R34" s="10">
        <v>3</v>
      </c>
      <c r="S34" s="10"/>
    </row>
    <row r="35" spans="1:19" x14ac:dyDescent="0.25">
      <c r="A35" s="8"/>
      <c r="B35" s="1" t="s">
        <v>41</v>
      </c>
      <c r="C35" s="1">
        <v>50</v>
      </c>
      <c r="D35" s="1">
        <v>0.2</v>
      </c>
      <c r="E35" s="1">
        <v>3</v>
      </c>
      <c r="F35" s="1">
        <v>1</v>
      </c>
      <c r="G35" s="1">
        <v>3</v>
      </c>
      <c r="H35" s="1"/>
      <c r="I35" s="1" t="s">
        <v>42</v>
      </c>
      <c r="M35" s="14" t="s">
        <v>50</v>
      </c>
      <c r="N35">
        <v>100</v>
      </c>
      <c r="O35">
        <v>0.5</v>
      </c>
      <c r="P35">
        <v>6</v>
      </c>
      <c r="Q35">
        <v>1</v>
      </c>
      <c r="R35">
        <v>3</v>
      </c>
    </row>
    <row r="36" spans="1:19" x14ac:dyDescent="0.25">
      <c r="A36" s="9"/>
      <c r="B36" t="s">
        <v>43</v>
      </c>
      <c r="C36">
        <v>40</v>
      </c>
      <c r="D36">
        <v>0</v>
      </c>
      <c r="E36">
        <v>5</v>
      </c>
      <c r="F36">
        <v>1</v>
      </c>
      <c r="G36">
        <v>9</v>
      </c>
      <c r="I36" t="s">
        <v>44</v>
      </c>
      <c r="M36" s="15" t="s">
        <v>51</v>
      </c>
      <c r="N36" s="10">
        <v>150</v>
      </c>
      <c r="O36" s="10">
        <v>1</v>
      </c>
      <c r="P36" s="10">
        <v>3</v>
      </c>
      <c r="Q36" s="10">
        <v>1</v>
      </c>
      <c r="R36" s="10">
        <v>3</v>
      </c>
      <c r="S36" s="10"/>
    </row>
    <row r="37" spans="1:19" x14ac:dyDescent="0.25">
      <c r="A37" s="9"/>
      <c r="B37" t="s">
        <v>45</v>
      </c>
      <c r="C37">
        <v>40</v>
      </c>
      <c r="D37">
        <v>0</v>
      </c>
      <c r="E37">
        <v>0</v>
      </c>
      <c r="F37">
        <v>6</v>
      </c>
      <c r="G37">
        <v>10</v>
      </c>
      <c r="I37" t="s">
        <v>46</v>
      </c>
      <c r="M37" s="14" t="s">
        <v>52</v>
      </c>
      <c r="N37">
        <v>190</v>
      </c>
      <c r="O37">
        <v>1</v>
      </c>
      <c r="P37">
        <v>3</v>
      </c>
      <c r="Q37">
        <v>1</v>
      </c>
      <c r="R37">
        <v>3</v>
      </c>
    </row>
    <row r="38" spans="1:19" x14ac:dyDescent="0.25">
      <c r="A38" s="9"/>
      <c r="B38" t="s">
        <v>47</v>
      </c>
      <c r="C38">
        <v>60</v>
      </c>
      <c r="D38">
        <v>0</v>
      </c>
      <c r="E38">
        <v>3</v>
      </c>
      <c r="F38">
        <v>1</v>
      </c>
      <c r="G38">
        <v>1</v>
      </c>
      <c r="I38" t="s">
        <v>48</v>
      </c>
      <c r="M38" s="15" t="s">
        <v>53</v>
      </c>
      <c r="N38" s="10">
        <v>140</v>
      </c>
      <c r="O38" s="10">
        <v>0.2</v>
      </c>
      <c r="P38" s="10">
        <v>7</v>
      </c>
      <c r="Q38" s="10">
        <v>1</v>
      </c>
      <c r="R38" s="10">
        <v>3</v>
      </c>
      <c r="S38" s="10"/>
    </row>
    <row r="39" spans="1:19" x14ac:dyDescent="0.25">
      <c r="A39" s="9"/>
      <c r="B39" t="s">
        <v>49</v>
      </c>
      <c r="C39">
        <v>200</v>
      </c>
      <c r="D39">
        <v>1</v>
      </c>
      <c r="E39">
        <v>3</v>
      </c>
      <c r="F39">
        <v>1</v>
      </c>
      <c r="G39">
        <v>3</v>
      </c>
    </row>
    <row r="40" spans="1:19" x14ac:dyDescent="0.25">
      <c r="A40" s="9"/>
      <c r="B40" t="s">
        <v>50</v>
      </c>
      <c r="C40">
        <v>100</v>
      </c>
      <c r="D40">
        <v>0.5</v>
      </c>
      <c r="E40">
        <v>6</v>
      </c>
      <c r="F40">
        <v>1</v>
      </c>
      <c r="G40">
        <v>3</v>
      </c>
    </row>
    <row r="41" spans="1:19" x14ac:dyDescent="0.25">
      <c r="A41" s="9"/>
      <c r="B41" t="s">
        <v>51</v>
      </c>
      <c r="C41">
        <v>150</v>
      </c>
      <c r="D41">
        <v>1</v>
      </c>
      <c r="E41">
        <v>3</v>
      </c>
      <c r="F41">
        <v>1</v>
      </c>
      <c r="G41">
        <v>3</v>
      </c>
    </row>
    <row r="42" spans="1:19" x14ac:dyDescent="0.25">
      <c r="A42" s="9"/>
      <c r="B42" t="s">
        <v>52</v>
      </c>
      <c r="C42">
        <v>190</v>
      </c>
      <c r="D42">
        <v>1</v>
      </c>
      <c r="E42">
        <v>3</v>
      </c>
      <c r="F42">
        <v>1</v>
      </c>
      <c r="G42">
        <v>3</v>
      </c>
    </row>
    <row r="43" spans="1:19" x14ac:dyDescent="0.25">
      <c r="A43" s="9"/>
      <c r="B43" t="s">
        <v>53</v>
      </c>
      <c r="C43">
        <v>140</v>
      </c>
      <c r="D43">
        <v>0.2</v>
      </c>
      <c r="E43">
        <v>7</v>
      </c>
      <c r="F43">
        <v>1</v>
      </c>
      <c r="G43">
        <v>3</v>
      </c>
    </row>
    <row r="44" spans="1:19" x14ac:dyDescent="0.25">
      <c r="A44" s="9"/>
      <c r="B44" t="s">
        <v>519</v>
      </c>
      <c r="C44">
        <v>95</v>
      </c>
      <c r="D44">
        <v>0.75</v>
      </c>
      <c r="E44">
        <v>6</v>
      </c>
      <c r="F44">
        <v>1</v>
      </c>
      <c r="G44">
        <v>3</v>
      </c>
      <c r="I44" t="s">
        <v>525</v>
      </c>
    </row>
    <row r="45" spans="1:19" x14ac:dyDescent="0.25">
      <c r="A45" s="9"/>
      <c r="B45" t="s">
        <v>535</v>
      </c>
      <c r="C45">
        <v>40</v>
      </c>
      <c r="D45">
        <v>0.4</v>
      </c>
      <c r="E45">
        <v>4</v>
      </c>
      <c r="F45">
        <v>1</v>
      </c>
      <c r="G45">
        <v>3</v>
      </c>
      <c r="I45" t="s">
        <v>534</v>
      </c>
    </row>
    <row r="46" spans="1:19" x14ac:dyDescent="0.25">
      <c r="A46" s="9"/>
      <c r="B46" t="s">
        <v>536</v>
      </c>
      <c r="C46">
        <v>40</v>
      </c>
      <c r="D46">
        <v>0</v>
      </c>
      <c r="E46">
        <v>5</v>
      </c>
      <c r="F46">
        <v>1</v>
      </c>
      <c r="G46">
        <v>9</v>
      </c>
      <c r="I46" t="s">
        <v>44</v>
      </c>
    </row>
    <row r="47" spans="1:19" x14ac:dyDescent="0.25">
      <c r="A47" s="9"/>
    </row>
    <row r="48" spans="1:19" x14ac:dyDescent="0.25">
      <c r="A48" s="53" t="s">
        <v>446</v>
      </c>
      <c r="B48" t="s">
        <v>0</v>
      </c>
      <c r="C48" t="s">
        <v>2</v>
      </c>
      <c r="D48" t="s">
        <v>4</v>
      </c>
      <c r="E48" t="s">
        <v>6</v>
      </c>
      <c r="F48" t="s">
        <v>7</v>
      </c>
      <c r="G48" t="s">
        <v>56</v>
      </c>
      <c r="H48" t="s">
        <v>57</v>
      </c>
      <c r="I48" t="s">
        <v>21</v>
      </c>
    </row>
    <row r="49" spans="1:9" x14ac:dyDescent="0.25">
      <c r="A49" s="54"/>
      <c r="B49" s="14" t="s">
        <v>437</v>
      </c>
      <c r="C49">
        <v>40</v>
      </c>
      <c r="D49">
        <v>0</v>
      </c>
      <c r="E49">
        <v>6</v>
      </c>
      <c r="F49">
        <v>7</v>
      </c>
      <c r="I49" t="s">
        <v>438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119D-A7BC-46FE-BE1D-3900F19AB624}">
  <dimension ref="A1:Z16"/>
  <sheetViews>
    <sheetView workbookViewId="0">
      <pane xSplit="1" topLeftCell="B1" activePane="topRight" state="frozen"/>
      <selection pane="topRight" activeCell="M19" sqref="M19"/>
    </sheetView>
  </sheetViews>
  <sheetFormatPr defaultRowHeight="15" x14ac:dyDescent="0.25"/>
  <cols>
    <col min="1" max="1" width="14.85546875" customWidth="1"/>
    <col min="2" max="2" width="9.28515625" customWidth="1"/>
    <col min="3" max="3" width="6.5703125" customWidth="1"/>
    <col min="4" max="4" width="7" customWidth="1"/>
    <col min="5" max="5" width="13.7109375" customWidth="1"/>
    <col min="6" max="6" width="16.140625" customWidth="1"/>
    <col min="7" max="7" width="14" customWidth="1"/>
    <col min="8" max="8" width="10.85546875" customWidth="1"/>
    <col min="9" max="10" width="9.28515625" customWidth="1"/>
    <col min="11" max="11" width="11.7109375" customWidth="1"/>
    <col min="12" max="13" width="10.140625" customWidth="1"/>
    <col min="14" max="14" width="14" customWidth="1"/>
    <col min="15" max="16" width="12.42578125" customWidth="1"/>
    <col min="17" max="17" width="12.28515625" customWidth="1"/>
    <col min="18" max="18" width="12" customWidth="1"/>
    <col min="19" max="19" width="14.140625" customWidth="1"/>
    <col min="20" max="20" width="12.42578125" customWidth="1"/>
    <col min="21" max="21" width="12.28515625" customWidth="1"/>
    <col min="22" max="22" width="13.42578125" customWidth="1"/>
    <col min="23" max="23" width="8.85546875" customWidth="1"/>
    <col min="24" max="24" width="13.5703125" customWidth="1"/>
    <col min="25" max="25" width="11.5703125" customWidth="1"/>
    <col min="26" max="26" width="37" customWidth="1"/>
  </cols>
  <sheetData>
    <row r="1" spans="1:26" x14ac:dyDescent="0.25">
      <c r="A1" s="11" t="s">
        <v>0</v>
      </c>
      <c r="B1" s="11" t="s">
        <v>58</v>
      </c>
      <c r="C1" s="11" t="s">
        <v>59</v>
      </c>
      <c r="D1" s="11" t="s">
        <v>74</v>
      </c>
      <c r="E1" s="11" t="s">
        <v>60</v>
      </c>
      <c r="F1" s="11" t="s">
        <v>61</v>
      </c>
      <c r="G1" s="11" t="s">
        <v>62</v>
      </c>
      <c r="H1" s="11" t="s">
        <v>63</v>
      </c>
      <c r="I1" s="11" t="s">
        <v>64</v>
      </c>
      <c r="J1" s="11" t="s">
        <v>65</v>
      </c>
      <c r="K1" s="11" t="s">
        <v>66</v>
      </c>
      <c r="L1" s="11" t="s">
        <v>67</v>
      </c>
      <c r="M1" s="11" t="s">
        <v>68</v>
      </c>
      <c r="N1" s="11" t="s">
        <v>69</v>
      </c>
      <c r="O1" s="11" t="s">
        <v>70</v>
      </c>
      <c r="P1" s="11" t="s">
        <v>71</v>
      </c>
      <c r="Q1" s="11" t="s">
        <v>72</v>
      </c>
      <c r="R1" s="11" t="s">
        <v>73</v>
      </c>
      <c r="S1" s="11" t="s">
        <v>86</v>
      </c>
      <c r="T1" s="11" t="s">
        <v>87</v>
      </c>
      <c r="U1" s="11" t="s">
        <v>88</v>
      </c>
      <c r="V1" s="11" t="s">
        <v>80</v>
      </c>
      <c r="W1" s="11" t="s">
        <v>2</v>
      </c>
      <c r="X1" s="11" t="s">
        <v>81</v>
      </c>
      <c r="Y1" s="11" t="s">
        <v>78</v>
      </c>
      <c r="Z1" s="11" t="s">
        <v>21</v>
      </c>
    </row>
    <row r="2" spans="1:26" x14ac:dyDescent="0.25">
      <c r="A2" t="s">
        <v>91</v>
      </c>
      <c r="B2">
        <v>12</v>
      </c>
      <c r="C2" t="s">
        <v>75</v>
      </c>
      <c r="D2">
        <v>3700</v>
      </c>
      <c r="E2" t="b">
        <v>0</v>
      </c>
      <c r="F2">
        <v>100</v>
      </c>
      <c r="G2">
        <v>100</v>
      </c>
      <c r="H2">
        <v>60</v>
      </c>
      <c r="I2">
        <v>30</v>
      </c>
      <c r="J2" t="s">
        <v>76</v>
      </c>
      <c r="K2">
        <v>70</v>
      </c>
      <c r="L2">
        <v>40</v>
      </c>
      <c r="M2" t="s">
        <v>76</v>
      </c>
      <c r="N2">
        <v>12</v>
      </c>
      <c r="O2">
        <v>8</v>
      </c>
      <c r="P2" t="s">
        <v>76</v>
      </c>
      <c r="Q2">
        <v>25</v>
      </c>
      <c r="R2">
        <v>0</v>
      </c>
      <c r="S2">
        <v>1</v>
      </c>
      <c r="T2">
        <v>2</v>
      </c>
      <c r="U2" t="s">
        <v>76</v>
      </c>
      <c r="V2" t="s">
        <v>14</v>
      </c>
      <c r="W2">
        <f>INDEX(Caliber!B2:'Caliber'!C9,MATCH(V2,Caliber!B2:'Caliber'!B9,0),2)</f>
        <v>35</v>
      </c>
      <c r="X2">
        <f>INDEX(Caliber!C2:'Caliber'!D9,MATCH(V2,Caliber!B2:'Caliber'!B9,0),2)</f>
        <v>0.1</v>
      </c>
      <c r="Y2" t="s">
        <v>92</v>
      </c>
    </row>
    <row r="3" spans="1:26" x14ac:dyDescent="0.25">
      <c r="A3" t="s">
        <v>422</v>
      </c>
      <c r="B3">
        <v>16</v>
      </c>
      <c r="C3" t="s">
        <v>75</v>
      </c>
      <c r="D3">
        <v>20000</v>
      </c>
      <c r="E3" t="b">
        <v>0</v>
      </c>
      <c r="F3">
        <v>100</v>
      </c>
      <c r="G3">
        <v>100</v>
      </c>
      <c r="H3">
        <v>60</v>
      </c>
      <c r="I3">
        <v>30</v>
      </c>
      <c r="J3" t="s">
        <v>76</v>
      </c>
      <c r="K3">
        <v>85</v>
      </c>
      <c r="L3">
        <v>45</v>
      </c>
      <c r="M3" t="s">
        <v>76</v>
      </c>
      <c r="N3">
        <v>12</v>
      </c>
      <c r="O3">
        <v>8</v>
      </c>
      <c r="P3" t="s">
        <v>76</v>
      </c>
      <c r="Q3">
        <v>25</v>
      </c>
      <c r="R3">
        <v>0</v>
      </c>
      <c r="S3">
        <v>1</v>
      </c>
      <c r="T3">
        <v>2</v>
      </c>
      <c r="U3" t="s">
        <v>76</v>
      </c>
      <c r="V3" t="s">
        <v>423</v>
      </c>
      <c r="W3" cm="1">
        <f t="array" aca="1" ref="W3" ca="1">INDEX(Caliber!B2:'Caliber'!C10,MATCH(INDIRECT(ADDRESS(ROW(),COLUMN()-1)),Caliber!B2:'Caliber'!B10,0),2)</f>
        <v>40</v>
      </c>
      <c r="X3" cm="1">
        <f t="array" aca="1" ref="X3" ca="1">INDEX(Caliber!C2:'Caliber'!D10,MATCH(INDIRECT(ADDRESS(ROW(),COLUMN()-2)),Caliber!B2:'Caliber'!B10,0),2)</f>
        <v>0</v>
      </c>
      <c r="Y3" t="s">
        <v>92</v>
      </c>
      <c r="Z3" t="s">
        <v>426</v>
      </c>
    </row>
    <row r="4" spans="1:26" x14ac:dyDescent="0.25">
      <c r="A4" t="s">
        <v>99</v>
      </c>
      <c r="B4">
        <v>7</v>
      </c>
      <c r="C4" t="s">
        <v>100</v>
      </c>
      <c r="D4">
        <v>6000</v>
      </c>
      <c r="E4" t="b">
        <v>0</v>
      </c>
      <c r="F4">
        <v>100</v>
      </c>
      <c r="G4">
        <v>100</v>
      </c>
      <c r="H4">
        <v>50</v>
      </c>
      <c r="I4">
        <v>20</v>
      </c>
      <c r="J4" t="s">
        <v>76</v>
      </c>
      <c r="K4">
        <v>70</v>
      </c>
      <c r="L4">
        <v>45</v>
      </c>
      <c r="M4" t="s">
        <v>76</v>
      </c>
      <c r="N4">
        <v>8</v>
      </c>
      <c r="O4">
        <v>6</v>
      </c>
      <c r="P4" t="s">
        <v>76</v>
      </c>
      <c r="Q4">
        <v>16</v>
      </c>
      <c r="R4">
        <v>0</v>
      </c>
      <c r="S4">
        <v>1</v>
      </c>
      <c r="T4">
        <v>2</v>
      </c>
      <c r="U4" t="s">
        <v>76</v>
      </c>
      <c r="V4" t="s">
        <v>10</v>
      </c>
      <c r="W4">
        <f>INDEX(Caliber!B2:'Caliber'!C9,MATCH(V4,Caliber!B2:'Caliber'!B9,0),2)</f>
        <v>26</v>
      </c>
      <c r="X4">
        <f>INDEX(Caliber!C2:'Caliber'!D9,MATCH(V4,Caliber!B2:'Caliber'!B9,0),2)</f>
        <v>0</v>
      </c>
      <c r="Y4" t="s">
        <v>101</v>
      </c>
    </row>
    <row r="5" spans="1:26" x14ac:dyDescent="0.25">
      <c r="A5" t="s">
        <v>8</v>
      </c>
      <c r="B5">
        <v>12</v>
      </c>
      <c r="C5" t="s">
        <v>75</v>
      </c>
      <c r="D5">
        <v>10000</v>
      </c>
      <c r="E5" t="b">
        <v>0</v>
      </c>
      <c r="F5">
        <v>100</v>
      </c>
      <c r="G5">
        <v>100</v>
      </c>
      <c r="H5">
        <v>50</v>
      </c>
      <c r="I5">
        <v>25</v>
      </c>
      <c r="J5" t="s">
        <v>76</v>
      </c>
      <c r="K5">
        <v>100</v>
      </c>
      <c r="L5">
        <v>50</v>
      </c>
      <c r="M5" t="s">
        <v>76</v>
      </c>
      <c r="N5">
        <v>6</v>
      </c>
      <c r="O5">
        <v>6</v>
      </c>
      <c r="P5" t="s">
        <v>76</v>
      </c>
      <c r="Q5">
        <v>6</v>
      </c>
      <c r="R5">
        <v>0</v>
      </c>
      <c r="S5">
        <v>1</v>
      </c>
      <c r="T5">
        <v>1</v>
      </c>
      <c r="U5" t="s">
        <v>76</v>
      </c>
      <c r="V5" t="s">
        <v>8</v>
      </c>
      <c r="W5">
        <f>INDEX(Caliber!B2:'Caliber'!C9,MATCH(V5,Caliber!B2:'Caliber'!B9,0),2)</f>
        <v>40</v>
      </c>
      <c r="X5">
        <f>INDEX(Caliber!C2:'Caliber'!D9,MATCH(V5,Caliber!B2:'Caliber'!B9,0),2)</f>
        <v>0</v>
      </c>
      <c r="Y5" t="s">
        <v>82</v>
      </c>
      <c r="Z5" t="s">
        <v>24</v>
      </c>
    </row>
    <row r="6" spans="1:26" x14ac:dyDescent="0.25">
      <c r="A6" t="s">
        <v>102</v>
      </c>
      <c r="B6">
        <v>11</v>
      </c>
      <c r="C6" t="s">
        <v>75</v>
      </c>
      <c r="D6">
        <v>12000</v>
      </c>
      <c r="E6" t="b">
        <v>0</v>
      </c>
      <c r="F6">
        <v>100</v>
      </c>
      <c r="G6">
        <v>100</v>
      </c>
      <c r="H6">
        <v>50</v>
      </c>
      <c r="I6">
        <v>21</v>
      </c>
      <c r="J6" t="s">
        <v>76</v>
      </c>
      <c r="K6">
        <v>60</v>
      </c>
      <c r="L6">
        <v>40</v>
      </c>
      <c r="M6" t="s">
        <v>76</v>
      </c>
      <c r="N6">
        <v>12</v>
      </c>
      <c r="O6">
        <v>10</v>
      </c>
      <c r="P6" t="s">
        <v>76</v>
      </c>
      <c r="Q6">
        <v>22</v>
      </c>
      <c r="R6">
        <v>0</v>
      </c>
      <c r="S6">
        <v>1</v>
      </c>
      <c r="T6">
        <v>2</v>
      </c>
      <c r="U6" t="s">
        <v>76</v>
      </c>
      <c r="V6" t="s">
        <v>16</v>
      </c>
      <c r="W6">
        <f>INDEX(Caliber!B2:'Caliber'!C9,MATCH(V6,Caliber!B2:'Caliber'!B9,0),2)</f>
        <v>34</v>
      </c>
      <c r="X6">
        <f>INDEX(Caliber!C2:'Caliber'!D9,MATCH(V6,Caliber!B2:'Caliber'!B9,0),2)</f>
        <v>0.4</v>
      </c>
      <c r="Y6" t="s">
        <v>98</v>
      </c>
    </row>
    <row r="7" spans="1:26" x14ac:dyDescent="0.25">
      <c r="A7" t="s">
        <v>97</v>
      </c>
      <c r="B7">
        <v>6</v>
      </c>
      <c r="C7" t="s">
        <v>75</v>
      </c>
      <c r="D7">
        <v>12500</v>
      </c>
      <c r="E7" t="b">
        <v>0</v>
      </c>
      <c r="F7">
        <v>100</v>
      </c>
      <c r="G7">
        <v>100</v>
      </c>
      <c r="H7">
        <v>50</v>
      </c>
      <c r="I7">
        <v>21</v>
      </c>
      <c r="J7" t="s">
        <v>76</v>
      </c>
      <c r="K7">
        <v>65</v>
      </c>
      <c r="L7">
        <v>42</v>
      </c>
      <c r="M7" t="s">
        <v>76</v>
      </c>
      <c r="N7">
        <v>11</v>
      </c>
      <c r="O7">
        <v>8</v>
      </c>
      <c r="P7" t="s">
        <v>76</v>
      </c>
      <c r="Q7">
        <v>22</v>
      </c>
      <c r="R7">
        <v>0</v>
      </c>
      <c r="S7">
        <v>1</v>
      </c>
      <c r="T7">
        <v>2</v>
      </c>
      <c r="U7" t="s">
        <v>76</v>
      </c>
      <c r="V7" t="s">
        <v>15</v>
      </c>
      <c r="W7">
        <f>INDEX(Caliber!B2:'Caliber'!C9,MATCH(V7,Caliber!B2:'Caliber'!B9,0),2)</f>
        <v>33</v>
      </c>
      <c r="X7">
        <f>INDEX(Caliber!C2:'Caliber'!D9,MATCH(V7,Caliber!B2:'Caliber'!B9,0),2)</f>
        <v>0.4</v>
      </c>
      <c r="Y7" t="s">
        <v>98</v>
      </c>
    </row>
    <row r="8" spans="1:26" x14ac:dyDescent="0.25">
      <c r="A8" t="s">
        <v>93</v>
      </c>
      <c r="B8">
        <v>14</v>
      </c>
      <c r="C8" t="s">
        <v>75</v>
      </c>
      <c r="D8">
        <v>13000</v>
      </c>
      <c r="E8" t="b">
        <v>0</v>
      </c>
      <c r="F8">
        <v>100</v>
      </c>
      <c r="G8">
        <v>100</v>
      </c>
      <c r="H8">
        <v>50</v>
      </c>
      <c r="I8">
        <v>20</v>
      </c>
      <c r="J8" t="s">
        <v>76</v>
      </c>
      <c r="K8">
        <v>80</v>
      </c>
      <c r="L8">
        <v>50</v>
      </c>
      <c r="M8" t="s">
        <v>76</v>
      </c>
      <c r="N8">
        <v>15</v>
      </c>
      <c r="O8">
        <v>10</v>
      </c>
      <c r="P8" t="s">
        <v>76</v>
      </c>
      <c r="Q8">
        <v>25</v>
      </c>
      <c r="R8">
        <v>0</v>
      </c>
      <c r="S8">
        <v>1</v>
      </c>
      <c r="T8">
        <v>2</v>
      </c>
      <c r="U8" t="s">
        <v>76</v>
      </c>
      <c r="V8" t="s">
        <v>14</v>
      </c>
      <c r="W8">
        <f>INDEX(Caliber!B2:'Caliber'!C9,MATCH(V8,Caliber!B2:'Caliber'!B9,0),2)</f>
        <v>35</v>
      </c>
      <c r="X8">
        <f>INDEX(Caliber!C2:'Caliber'!D9,MATCH(V8,Caliber!B2:'Caliber'!B9,0),2)</f>
        <v>0.1</v>
      </c>
      <c r="Y8" t="s">
        <v>94</v>
      </c>
    </row>
    <row r="9" spans="1:26" x14ac:dyDescent="0.25">
      <c r="A9" t="s">
        <v>11</v>
      </c>
      <c r="B9">
        <v>7</v>
      </c>
      <c r="C9" t="s">
        <v>75</v>
      </c>
      <c r="D9" t="s">
        <v>76</v>
      </c>
      <c r="E9" t="b">
        <v>0</v>
      </c>
      <c r="F9">
        <v>100</v>
      </c>
      <c r="G9">
        <v>100</v>
      </c>
      <c r="H9">
        <v>50</v>
      </c>
      <c r="I9">
        <v>20</v>
      </c>
      <c r="J9" t="s">
        <v>76</v>
      </c>
      <c r="K9">
        <v>55</v>
      </c>
      <c r="L9">
        <v>45</v>
      </c>
      <c r="M9" t="s">
        <v>76</v>
      </c>
      <c r="N9">
        <v>10</v>
      </c>
      <c r="O9">
        <v>7</v>
      </c>
      <c r="P9" t="s">
        <v>76</v>
      </c>
      <c r="Q9">
        <v>18</v>
      </c>
      <c r="R9">
        <v>0</v>
      </c>
      <c r="S9">
        <v>1</v>
      </c>
      <c r="T9">
        <v>2</v>
      </c>
      <c r="U9" t="s">
        <v>76</v>
      </c>
      <c r="V9" t="s">
        <v>95</v>
      </c>
      <c r="W9">
        <f>INDEX(Caliber!B2:'Caliber'!C9,MATCH(V9,Caliber!B2:'Caliber'!B9,0),2)</f>
        <v>29</v>
      </c>
      <c r="X9">
        <f>INDEX(Caliber!C2:'Caliber'!D9,MATCH(V9,Caliber!B2:'Caliber'!B9,0),2)</f>
        <v>0</v>
      </c>
      <c r="Y9" t="s">
        <v>96</v>
      </c>
    </row>
    <row r="10" spans="1:26" x14ac:dyDescent="0.25">
      <c r="A10" t="s">
        <v>89</v>
      </c>
      <c r="B10">
        <v>12</v>
      </c>
      <c r="C10" t="s">
        <v>90</v>
      </c>
      <c r="D10" t="s">
        <v>76</v>
      </c>
      <c r="E10" t="b">
        <v>0</v>
      </c>
      <c r="F10">
        <v>100</v>
      </c>
      <c r="G10">
        <v>100</v>
      </c>
      <c r="H10">
        <v>50</v>
      </c>
      <c r="I10">
        <v>20</v>
      </c>
      <c r="J10">
        <v>40</v>
      </c>
      <c r="K10">
        <v>45</v>
      </c>
      <c r="L10">
        <v>45</v>
      </c>
      <c r="M10">
        <v>40</v>
      </c>
      <c r="N10">
        <v>8</v>
      </c>
      <c r="O10">
        <v>10</v>
      </c>
      <c r="P10">
        <v>6</v>
      </c>
      <c r="Q10">
        <v>22</v>
      </c>
      <c r="R10">
        <v>0</v>
      </c>
      <c r="S10">
        <v>3</v>
      </c>
      <c r="T10">
        <v>1</v>
      </c>
      <c r="U10">
        <v>5</v>
      </c>
      <c r="V10" t="s">
        <v>12</v>
      </c>
      <c r="W10">
        <f>INDEX(Caliber!B2:'Caliber'!C9,MATCH(V10,Caliber!B2:'Caliber'!B9,0),2)</f>
        <v>31</v>
      </c>
      <c r="X10">
        <f>INDEX(Caliber!C2:'Caliber'!D9,MATCH(V10,Caliber!B2:'Caliber'!B9,0),2)</f>
        <v>0</v>
      </c>
      <c r="Y10" t="s">
        <v>84</v>
      </c>
    </row>
    <row r="11" spans="1:26" x14ac:dyDescent="0.25">
      <c r="A11" t="s">
        <v>77</v>
      </c>
      <c r="B11">
        <v>10</v>
      </c>
      <c r="C11" t="s">
        <v>75</v>
      </c>
      <c r="D11">
        <v>10000</v>
      </c>
      <c r="E11" t="b">
        <v>0</v>
      </c>
      <c r="F11">
        <v>100</v>
      </c>
      <c r="G11">
        <v>100</v>
      </c>
      <c r="H11">
        <v>45</v>
      </c>
      <c r="I11">
        <v>21</v>
      </c>
      <c r="J11" t="s">
        <v>76</v>
      </c>
      <c r="K11">
        <v>60</v>
      </c>
      <c r="L11">
        <v>40</v>
      </c>
      <c r="M11" t="s">
        <v>76</v>
      </c>
      <c r="N11">
        <v>10</v>
      </c>
      <c r="O11">
        <v>7</v>
      </c>
      <c r="P11" t="s">
        <v>76</v>
      </c>
      <c r="Q11">
        <v>20</v>
      </c>
      <c r="R11">
        <v>0</v>
      </c>
      <c r="S11">
        <v>1</v>
      </c>
      <c r="T11">
        <v>2</v>
      </c>
      <c r="U11" t="s">
        <v>76</v>
      </c>
      <c r="V11" t="s">
        <v>12</v>
      </c>
      <c r="W11">
        <f>INDEX(Caliber!B2:'Caliber'!C9,MATCH(V11,Caliber!B2:'Caliber'!B9,0),2)</f>
        <v>31</v>
      </c>
      <c r="X11">
        <f>INDEX(Caliber!C2:'Caliber'!D9,MATCH(V11,Caliber!B2:'Caliber'!B9,0),2)</f>
        <v>0</v>
      </c>
      <c r="Y11" t="s">
        <v>79</v>
      </c>
    </row>
    <row r="12" spans="1:26" x14ac:dyDescent="0.25">
      <c r="A12" t="s">
        <v>85</v>
      </c>
      <c r="B12">
        <v>11</v>
      </c>
      <c r="C12" t="s">
        <v>75</v>
      </c>
      <c r="D12">
        <v>12000</v>
      </c>
      <c r="E12" t="b">
        <v>0</v>
      </c>
      <c r="F12">
        <v>100</v>
      </c>
      <c r="G12">
        <v>100</v>
      </c>
      <c r="H12">
        <v>45</v>
      </c>
      <c r="I12">
        <v>15</v>
      </c>
      <c r="J12">
        <v>40</v>
      </c>
      <c r="K12">
        <v>38</v>
      </c>
      <c r="L12">
        <v>38</v>
      </c>
      <c r="M12">
        <v>25</v>
      </c>
      <c r="N12">
        <v>6</v>
      </c>
      <c r="O12">
        <v>8</v>
      </c>
      <c r="P12">
        <v>4</v>
      </c>
      <c r="Q12">
        <v>20</v>
      </c>
      <c r="R12">
        <v>0</v>
      </c>
      <c r="S12">
        <v>3</v>
      </c>
      <c r="T12">
        <v>1</v>
      </c>
      <c r="U12">
        <v>5</v>
      </c>
      <c r="V12" t="s">
        <v>12</v>
      </c>
      <c r="W12">
        <f>INDEX(Caliber!B2:'Caliber'!C9,MATCH(V12,Caliber!B2:'Caliber'!B9,0),2)</f>
        <v>31</v>
      </c>
      <c r="X12">
        <f>INDEX(Caliber!C2:'Caliber'!D9,MATCH(V12,Caliber!B2:'Caliber'!B9,0),2)</f>
        <v>0</v>
      </c>
      <c r="Y12" t="s">
        <v>84</v>
      </c>
    </row>
    <row r="13" spans="1:26" x14ac:dyDescent="0.25">
      <c r="A13" t="s">
        <v>103</v>
      </c>
      <c r="B13">
        <v>14</v>
      </c>
      <c r="C13" t="s">
        <v>75</v>
      </c>
      <c r="D13">
        <v>12500</v>
      </c>
      <c r="E13" t="b">
        <v>0</v>
      </c>
      <c r="F13">
        <v>100</v>
      </c>
      <c r="G13">
        <v>100</v>
      </c>
      <c r="H13">
        <v>45</v>
      </c>
      <c r="I13">
        <v>15</v>
      </c>
      <c r="J13">
        <v>40</v>
      </c>
      <c r="K13">
        <v>35</v>
      </c>
      <c r="L13">
        <v>35</v>
      </c>
      <c r="M13">
        <v>20</v>
      </c>
      <c r="N13">
        <v>5</v>
      </c>
      <c r="O13">
        <v>8</v>
      </c>
      <c r="P13">
        <v>4</v>
      </c>
      <c r="Q13">
        <v>18</v>
      </c>
      <c r="R13">
        <v>0</v>
      </c>
      <c r="S13">
        <v>3</v>
      </c>
      <c r="T13">
        <v>1</v>
      </c>
      <c r="U13">
        <v>5</v>
      </c>
      <c r="V13" t="s">
        <v>95</v>
      </c>
      <c r="W13">
        <f>INDEX(Caliber!B2:'Caliber'!C9,MATCH(V13,Caliber!B2:'Caliber'!B9,0),2)</f>
        <v>29</v>
      </c>
      <c r="X13">
        <f>INDEX(Caliber!C2:'Caliber'!D9,MATCH(V13,Caliber!B2:'Caliber'!B9,0),2)</f>
        <v>0</v>
      </c>
      <c r="Y13" t="s">
        <v>98</v>
      </c>
    </row>
    <row r="14" spans="1:26" x14ac:dyDescent="0.25">
      <c r="A14" t="s">
        <v>83</v>
      </c>
      <c r="B14">
        <v>11</v>
      </c>
      <c r="C14" t="s">
        <v>75</v>
      </c>
      <c r="D14">
        <v>8000</v>
      </c>
      <c r="E14" t="b">
        <v>0</v>
      </c>
      <c r="F14">
        <v>100</v>
      </c>
      <c r="G14">
        <v>100</v>
      </c>
      <c r="H14">
        <v>40</v>
      </c>
      <c r="I14">
        <v>20</v>
      </c>
      <c r="J14" t="s">
        <v>76</v>
      </c>
      <c r="K14">
        <v>55</v>
      </c>
      <c r="L14">
        <v>35</v>
      </c>
      <c r="M14" t="s">
        <v>76</v>
      </c>
      <c r="N14">
        <v>10</v>
      </c>
      <c r="O14">
        <v>7</v>
      </c>
      <c r="P14" t="s">
        <v>76</v>
      </c>
      <c r="Q14">
        <v>20</v>
      </c>
      <c r="R14">
        <v>0</v>
      </c>
      <c r="S14">
        <v>1</v>
      </c>
      <c r="T14">
        <v>2</v>
      </c>
      <c r="U14" t="s">
        <v>76</v>
      </c>
      <c r="V14" t="s">
        <v>12</v>
      </c>
      <c r="W14">
        <f>INDEX(Caliber!B2:'Caliber'!C9,MATCH(V14,Caliber!B2:'Caliber'!B9,0),2)</f>
        <v>31</v>
      </c>
      <c r="X14">
        <f>INDEX(Caliber!C2:'Caliber'!D9,MATCH(V14,Caliber!B2:'Caliber'!B9,0),2)</f>
        <v>0</v>
      </c>
      <c r="Y14" t="s">
        <v>84</v>
      </c>
    </row>
    <row r="15" spans="1:26" x14ac:dyDescent="0.25">
      <c r="A15" t="s">
        <v>456</v>
      </c>
      <c r="B15">
        <v>8</v>
      </c>
      <c r="C15" t="s">
        <v>75</v>
      </c>
      <c r="D15" t="s">
        <v>76</v>
      </c>
      <c r="E15" t="b">
        <v>0</v>
      </c>
      <c r="F15">
        <v>100</v>
      </c>
      <c r="G15">
        <v>100</v>
      </c>
      <c r="H15">
        <v>30</v>
      </c>
      <c r="I15">
        <v>15</v>
      </c>
      <c r="J15" t="s">
        <v>76</v>
      </c>
      <c r="K15">
        <v>35</v>
      </c>
      <c r="L15">
        <v>20</v>
      </c>
      <c r="M15" t="s">
        <v>76</v>
      </c>
      <c r="N15">
        <v>8</v>
      </c>
      <c r="O15">
        <v>6</v>
      </c>
      <c r="P15" t="s">
        <v>76</v>
      </c>
      <c r="Q15">
        <v>20</v>
      </c>
      <c r="R15">
        <v>0</v>
      </c>
      <c r="S15">
        <v>1</v>
      </c>
      <c r="T15">
        <v>2</v>
      </c>
      <c r="U15" t="s">
        <v>76</v>
      </c>
      <c r="V15" t="s">
        <v>12</v>
      </c>
      <c r="W15">
        <f>INDEX(Caliber!B2:'Caliber'!C9,MATCH(V15,Caliber!B2:'Caliber'!B9,0),2)</f>
        <v>31</v>
      </c>
      <c r="X15">
        <f>INDEX(Caliber!C2:'Caliber'!D9,MATCH(V15,Caliber!B2:'Caliber'!B9,0),2)</f>
        <v>0</v>
      </c>
      <c r="Y15" t="s">
        <v>79</v>
      </c>
    </row>
    <row r="16" spans="1:26" x14ac:dyDescent="0.25">
      <c r="A16" t="s">
        <v>518</v>
      </c>
      <c r="B16">
        <v>12</v>
      </c>
      <c r="C16" t="s">
        <v>75</v>
      </c>
      <c r="D16" t="s">
        <v>76</v>
      </c>
      <c r="E16" t="b">
        <v>0</v>
      </c>
      <c r="F16">
        <v>100</v>
      </c>
      <c r="G16">
        <v>100</v>
      </c>
      <c r="H16">
        <v>55</v>
      </c>
      <c r="I16">
        <v>25</v>
      </c>
      <c r="J16" t="s">
        <v>76</v>
      </c>
      <c r="K16">
        <v>60</v>
      </c>
      <c r="L16">
        <v>45</v>
      </c>
      <c r="M16" t="s">
        <v>76</v>
      </c>
      <c r="N16">
        <v>10</v>
      </c>
      <c r="O16">
        <v>7</v>
      </c>
      <c r="P16" t="s">
        <v>76</v>
      </c>
      <c r="Q16">
        <v>19</v>
      </c>
      <c r="R16">
        <v>0</v>
      </c>
      <c r="S16">
        <v>1</v>
      </c>
      <c r="T16">
        <v>2</v>
      </c>
      <c r="U16" t="s">
        <v>76</v>
      </c>
      <c r="V16" t="s">
        <v>12</v>
      </c>
      <c r="W16">
        <f>INDEX(Caliber!B3:'Caliber'!C10,MATCH(V16,Caliber!B3:'Caliber'!B10,0),2)</f>
        <v>31</v>
      </c>
      <c r="X16">
        <f>INDEX(Caliber!C3:'Caliber'!D10,MATCH(V16,Caliber!B3:'Caliber'!B10,0),2)</f>
        <v>0</v>
      </c>
      <c r="Y16" t="s">
        <v>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1AF2-A8AA-477B-ABE7-7C87546ECF29}">
  <dimension ref="A1:Z17"/>
  <sheetViews>
    <sheetView topLeftCell="A7" workbookViewId="0">
      <pane xSplit="1" topLeftCell="B1" activePane="topRight" state="frozen"/>
      <selection pane="topRight" activeCell="N24" sqref="N24"/>
    </sheetView>
  </sheetViews>
  <sheetFormatPr defaultRowHeight="15" x14ac:dyDescent="0.25"/>
  <cols>
    <col min="1" max="1" width="14.42578125" customWidth="1"/>
    <col min="2" max="2" width="9.28515625" customWidth="1"/>
    <col min="5" max="5" width="13.7109375" customWidth="1"/>
    <col min="6" max="6" width="16.140625" customWidth="1"/>
    <col min="7" max="7" width="14" customWidth="1"/>
    <col min="8" max="8" width="10.85546875" customWidth="1"/>
    <col min="9" max="10" width="9.28515625" customWidth="1"/>
    <col min="11" max="11" width="11.7109375" customWidth="1"/>
    <col min="12" max="13" width="10.140625" customWidth="1"/>
    <col min="14" max="14" width="14" customWidth="1"/>
    <col min="15" max="16" width="12.42578125" customWidth="1"/>
    <col min="17" max="17" width="12.28515625" customWidth="1"/>
    <col min="18" max="18" width="12" customWidth="1"/>
    <col min="19" max="19" width="14.140625" customWidth="1"/>
    <col min="20" max="20" width="12.42578125" customWidth="1"/>
    <col min="21" max="21" width="12.28515625" customWidth="1"/>
    <col min="22" max="22" width="13.5703125" customWidth="1"/>
    <col min="24" max="24" width="13.5703125" customWidth="1"/>
    <col min="25" max="25" width="12" customWidth="1"/>
    <col min="26" max="26" width="26.5703125" customWidth="1"/>
  </cols>
  <sheetData>
    <row r="1" spans="1:26" x14ac:dyDescent="0.25">
      <c r="A1" s="19" t="s">
        <v>0</v>
      </c>
      <c r="B1" s="19" t="s">
        <v>58</v>
      </c>
      <c r="C1" s="19" t="s">
        <v>59</v>
      </c>
      <c r="D1" s="19" t="s">
        <v>74</v>
      </c>
      <c r="E1" s="19" t="s">
        <v>60</v>
      </c>
      <c r="F1" s="19" t="s">
        <v>61</v>
      </c>
      <c r="G1" s="19" t="s">
        <v>62</v>
      </c>
      <c r="H1" s="19" t="s">
        <v>63</v>
      </c>
      <c r="I1" s="19" t="s">
        <v>64</v>
      </c>
      <c r="J1" s="19" t="s">
        <v>65</v>
      </c>
      <c r="K1" s="19" t="s">
        <v>66</v>
      </c>
      <c r="L1" s="19" t="s">
        <v>67</v>
      </c>
      <c r="M1" s="19" t="s">
        <v>68</v>
      </c>
      <c r="N1" s="19" t="s">
        <v>69</v>
      </c>
      <c r="O1" s="19" t="s">
        <v>70</v>
      </c>
      <c r="P1" s="19" t="s">
        <v>71</v>
      </c>
      <c r="Q1" s="19" t="s">
        <v>72</v>
      </c>
      <c r="R1" s="19" t="s">
        <v>73</v>
      </c>
      <c r="S1" s="19" t="s">
        <v>86</v>
      </c>
      <c r="T1" s="19" t="s">
        <v>87</v>
      </c>
      <c r="U1" s="19" t="s">
        <v>88</v>
      </c>
      <c r="V1" s="19" t="s">
        <v>80</v>
      </c>
      <c r="W1" s="19" t="s">
        <v>2</v>
      </c>
      <c r="X1" s="19" t="s">
        <v>81</v>
      </c>
      <c r="Y1" s="19" t="s">
        <v>78</v>
      </c>
      <c r="Z1" s="19" t="s">
        <v>21</v>
      </c>
    </row>
    <row r="2" spans="1:26" x14ac:dyDescent="0.25">
      <c r="A2" t="s">
        <v>107</v>
      </c>
      <c r="B2">
        <v>22</v>
      </c>
      <c r="C2" t="s">
        <v>75</v>
      </c>
      <c r="D2">
        <v>25000</v>
      </c>
      <c r="E2" t="b">
        <v>0</v>
      </c>
      <c r="F2">
        <v>100</v>
      </c>
      <c r="G2">
        <v>115</v>
      </c>
      <c r="H2">
        <v>20</v>
      </c>
      <c r="I2">
        <v>15</v>
      </c>
      <c r="J2">
        <v>30</v>
      </c>
      <c r="K2">
        <v>55</v>
      </c>
      <c r="L2">
        <v>70</v>
      </c>
      <c r="M2">
        <v>50</v>
      </c>
      <c r="N2">
        <v>6</v>
      </c>
      <c r="O2">
        <v>8</v>
      </c>
      <c r="P2">
        <v>4</v>
      </c>
      <c r="Q2">
        <v>30</v>
      </c>
      <c r="R2">
        <v>0</v>
      </c>
      <c r="S2">
        <v>3</v>
      </c>
      <c r="T2">
        <v>1</v>
      </c>
      <c r="U2">
        <v>7</v>
      </c>
      <c r="V2" t="s">
        <v>12</v>
      </c>
      <c r="W2" s="10">
        <f>INDEX(Caliber!B2:'Caliber'!C9,MATCH(V2,Caliber!B2:'Caliber'!B9,0),2)</f>
        <v>31</v>
      </c>
      <c r="X2" s="10">
        <f>INDEX(Caliber!C2:'Caliber'!D9,MATCH(V2,Caliber!B2:'Caliber'!B9,0),2)</f>
        <v>0</v>
      </c>
      <c r="Y2" t="s">
        <v>84</v>
      </c>
    </row>
    <row r="3" spans="1:26" x14ac:dyDescent="0.25">
      <c r="A3" t="s">
        <v>433</v>
      </c>
      <c r="B3">
        <v>18</v>
      </c>
      <c r="C3" t="s">
        <v>75</v>
      </c>
      <c r="D3">
        <v>18000</v>
      </c>
      <c r="E3" t="b">
        <v>0</v>
      </c>
      <c r="F3">
        <v>100</v>
      </c>
      <c r="G3">
        <v>115</v>
      </c>
      <c r="H3">
        <v>30</v>
      </c>
      <c r="I3">
        <v>20</v>
      </c>
      <c r="J3">
        <v>35</v>
      </c>
      <c r="K3">
        <v>55</v>
      </c>
      <c r="L3">
        <v>60</v>
      </c>
      <c r="M3">
        <v>45</v>
      </c>
      <c r="N3">
        <v>6</v>
      </c>
      <c r="O3">
        <v>8</v>
      </c>
      <c r="P3">
        <v>4</v>
      </c>
      <c r="Q3">
        <v>30</v>
      </c>
      <c r="R3">
        <v>0</v>
      </c>
      <c r="S3">
        <v>3</v>
      </c>
      <c r="T3">
        <v>1</v>
      </c>
      <c r="U3">
        <v>7</v>
      </c>
      <c r="V3" t="s">
        <v>12</v>
      </c>
      <c r="W3">
        <f>INDEX(Caliber!B2:'Caliber'!C9,MATCH(V3,Caliber!B2:'Caliber'!B9,0),2)</f>
        <v>31</v>
      </c>
      <c r="X3">
        <f>INDEX(Caliber!C2:'Caliber'!D9,MATCH(V3,Caliber!B2:'Caliber'!B9,0),2)</f>
        <v>0</v>
      </c>
      <c r="Y3" t="s">
        <v>119</v>
      </c>
    </row>
    <row r="4" spans="1:26" x14ac:dyDescent="0.25">
      <c r="A4" s="57" t="s">
        <v>108</v>
      </c>
      <c r="B4">
        <v>21</v>
      </c>
      <c r="C4" t="s">
        <v>75</v>
      </c>
      <c r="D4">
        <v>17500</v>
      </c>
      <c r="E4" t="b">
        <v>0</v>
      </c>
      <c r="F4">
        <v>100</v>
      </c>
      <c r="G4">
        <v>115</v>
      </c>
      <c r="H4">
        <v>35</v>
      </c>
      <c r="I4">
        <v>20</v>
      </c>
      <c r="J4">
        <v>35</v>
      </c>
      <c r="K4">
        <v>50</v>
      </c>
      <c r="L4">
        <v>70</v>
      </c>
      <c r="M4">
        <v>55</v>
      </c>
      <c r="N4">
        <v>7</v>
      </c>
      <c r="O4">
        <v>11</v>
      </c>
      <c r="P4">
        <v>6</v>
      </c>
      <c r="Q4">
        <v>30</v>
      </c>
      <c r="R4">
        <v>0</v>
      </c>
      <c r="S4">
        <v>3</v>
      </c>
      <c r="T4">
        <v>1</v>
      </c>
      <c r="U4">
        <v>7</v>
      </c>
      <c r="V4" t="s">
        <v>13</v>
      </c>
      <c r="W4">
        <f>INDEX(Caliber!B2:'Caliber'!C9,MATCH(V4,Caliber!B2:'Caliber'!B9,0),2)</f>
        <v>32</v>
      </c>
      <c r="X4">
        <f>INDEX(Caliber!C2:'Caliber'!D9,MATCH(V4,Caliber!B2:'Caliber'!B9,0),2)</f>
        <v>0.3</v>
      </c>
      <c r="Y4" t="s">
        <v>113</v>
      </c>
    </row>
    <row r="5" spans="1:26" x14ac:dyDescent="0.25">
      <c r="A5" t="s">
        <v>110</v>
      </c>
      <c r="B5">
        <v>21</v>
      </c>
      <c r="C5" t="s">
        <v>90</v>
      </c>
      <c r="D5">
        <v>18000</v>
      </c>
      <c r="E5" t="b">
        <v>1</v>
      </c>
      <c r="F5">
        <v>80</v>
      </c>
      <c r="G5">
        <v>115</v>
      </c>
      <c r="H5">
        <v>30</v>
      </c>
      <c r="I5">
        <v>25</v>
      </c>
      <c r="J5">
        <v>40</v>
      </c>
      <c r="K5">
        <v>55</v>
      </c>
      <c r="L5">
        <v>60</v>
      </c>
      <c r="M5">
        <v>45</v>
      </c>
      <c r="N5">
        <v>8</v>
      </c>
      <c r="O5">
        <v>10</v>
      </c>
      <c r="P5">
        <v>4</v>
      </c>
      <c r="Q5">
        <v>35</v>
      </c>
      <c r="R5">
        <v>0</v>
      </c>
      <c r="S5">
        <v>3</v>
      </c>
      <c r="T5">
        <v>1</v>
      </c>
      <c r="U5">
        <v>7</v>
      </c>
      <c r="V5" t="s">
        <v>15</v>
      </c>
      <c r="W5" s="10">
        <f>INDEX(Caliber!B2:'Caliber'!C9,MATCH(V5,Caliber!B2:'Caliber'!B9,0),2)</f>
        <v>33</v>
      </c>
      <c r="X5" s="10">
        <f>INDEX(Caliber!C2:'Caliber'!D9,MATCH(V5,Caliber!B2:'Caliber'!B9,0),2)</f>
        <v>0.4</v>
      </c>
      <c r="Y5" t="s">
        <v>109</v>
      </c>
    </row>
    <row r="6" spans="1:26" x14ac:dyDescent="0.25">
      <c r="A6" t="s">
        <v>452</v>
      </c>
      <c r="B6">
        <v>23</v>
      </c>
      <c r="C6" t="s">
        <v>90</v>
      </c>
      <c r="D6" t="s">
        <v>76</v>
      </c>
      <c r="E6" t="b">
        <v>1</v>
      </c>
      <c r="F6">
        <v>80</v>
      </c>
      <c r="G6">
        <v>115</v>
      </c>
      <c r="H6">
        <v>40</v>
      </c>
      <c r="I6">
        <v>22</v>
      </c>
      <c r="J6">
        <v>37</v>
      </c>
      <c r="K6">
        <v>70</v>
      </c>
      <c r="L6">
        <v>60</v>
      </c>
      <c r="M6">
        <v>45</v>
      </c>
      <c r="N6">
        <v>13</v>
      </c>
      <c r="O6">
        <v>20</v>
      </c>
      <c r="P6">
        <v>9</v>
      </c>
      <c r="Q6">
        <v>30</v>
      </c>
      <c r="R6">
        <v>0</v>
      </c>
      <c r="S6">
        <v>3</v>
      </c>
      <c r="T6">
        <v>1</v>
      </c>
      <c r="U6">
        <v>7</v>
      </c>
      <c r="V6" t="s">
        <v>15</v>
      </c>
      <c r="W6" s="10" cm="1">
        <f t="array" aca="1" ref="W6" ca="1">INDEX(Caliber!B2:'Caliber'!C11,MATCH(INDIRECT(ADDRESS(ROW(),COLUMN()-1)),Caliber!B2:'Caliber'!B11,0),2)</f>
        <v>33</v>
      </c>
      <c r="X6" s="10" cm="1">
        <f t="array" aca="1" ref="X6" ca="1">INDEX(Caliber!C2:'Caliber'!D11,MATCH(INDIRECT(ADDRESS(ROW(),COLUMN()-2)),Caliber!B2:'Caliber'!B11,0),2)</f>
        <v>0.4</v>
      </c>
      <c r="Y6" t="s">
        <v>109</v>
      </c>
    </row>
    <row r="7" spans="1:26" x14ac:dyDescent="0.25">
      <c r="A7" t="s">
        <v>116</v>
      </c>
      <c r="B7">
        <v>23</v>
      </c>
      <c r="C7" t="s">
        <v>90</v>
      </c>
      <c r="D7">
        <v>17000</v>
      </c>
      <c r="E7" t="b">
        <v>1</v>
      </c>
      <c r="F7">
        <v>80</v>
      </c>
      <c r="G7">
        <v>115</v>
      </c>
      <c r="H7">
        <v>25</v>
      </c>
      <c r="I7">
        <v>15</v>
      </c>
      <c r="J7">
        <v>35</v>
      </c>
      <c r="K7">
        <v>55</v>
      </c>
      <c r="L7">
        <v>75</v>
      </c>
      <c r="M7">
        <v>40</v>
      </c>
      <c r="N7">
        <v>9</v>
      </c>
      <c r="O7">
        <v>11</v>
      </c>
      <c r="P7">
        <v>6</v>
      </c>
      <c r="Q7">
        <v>35</v>
      </c>
      <c r="R7">
        <v>0</v>
      </c>
      <c r="S7">
        <v>3</v>
      </c>
      <c r="T7">
        <v>1</v>
      </c>
      <c r="U7">
        <v>7</v>
      </c>
      <c r="V7" t="s">
        <v>12</v>
      </c>
      <c r="W7" s="10">
        <f>INDEX(Caliber!B2:'Caliber'!C9,MATCH(V7,Caliber!B2:'Caliber'!B9,0),2)</f>
        <v>31</v>
      </c>
      <c r="X7" s="10">
        <f>INDEX(Caliber!C2:'Caliber'!D9,MATCH(V7,Caliber!B2:'Caliber'!B9,0),2)</f>
        <v>0</v>
      </c>
      <c r="Y7" t="s">
        <v>117</v>
      </c>
    </row>
    <row r="8" spans="1:26" x14ac:dyDescent="0.25">
      <c r="A8" t="s">
        <v>106</v>
      </c>
      <c r="B8">
        <v>20</v>
      </c>
      <c r="C8" t="s">
        <v>90</v>
      </c>
      <c r="D8">
        <v>15000</v>
      </c>
      <c r="E8" t="b">
        <v>1</v>
      </c>
      <c r="F8">
        <v>80</v>
      </c>
      <c r="G8">
        <v>115</v>
      </c>
      <c r="H8">
        <v>25</v>
      </c>
      <c r="I8">
        <v>20</v>
      </c>
      <c r="J8">
        <v>35</v>
      </c>
      <c r="K8">
        <v>50</v>
      </c>
      <c r="L8">
        <v>70</v>
      </c>
      <c r="M8">
        <v>40</v>
      </c>
      <c r="N8">
        <v>10</v>
      </c>
      <c r="O8">
        <v>12</v>
      </c>
      <c r="P8">
        <v>6</v>
      </c>
      <c r="Q8">
        <v>30</v>
      </c>
      <c r="R8">
        <v>0</v>
      </c>
      <c r="S8">
        <v>3</v>
      </c>
      <c r="T8">
        <v>1</v>
      </c>
      <c r="U8">
        <v>7</v>
      </c>
      <c r="V8" t="s">
        <v>12</v>
      </c>
      <c r="W8">
        <f>INDEX(Caliber!B2:'Caliber'!C9,MATCH(V8,Caliber!B2:'Caliber'!B9,0),2)</f>
        <v>31</v>
      </c>
      <c r="X8">
        <f>INDEX(Caliber!C2:'Caliber'!D9,MATCH(V8,Caliber!B2:'Caliber'!B9,0),2)</f>
        <v>0</v>
      </c>
      <c r="Y8" t="s">
        <v>105</v>
      </c>
    </row>
    <row r="9" spans="1:26" x14ac:dyDescent="0.25">
      <c r="A9" t="s">
        <v>442</v>
      </c>
      <c r="B9">
        <v>21</v>
      </c>
      <c r="C9" t="s">
        <v>75</v>
      </c>
      <c r="D9">
        <v>20000</v>
      </c>
      <c r="E9" t="b">
        <v>1</v>
      </c>
      <c r="F9">
        <v>80</v>
      </c>
      <c r="G9">
        <v>115</v>
      </c>
      <c r="H9">
        <v>25</v>
      </c>
      <c r="I9">
        <v>20</v>
      </c>
      <c r="J9">
        <v>45</v>
      </c>
      <c r="K9">
        <v>49</v>
      </c>
      <c r="L9">
        <v>70</v>
      </c>
      <c r="M9">
        <v>40</v>
      </c>
      <c r="N9">
        <v>11</v>
      </c>
      <c r="O9">
        <v>13</v>
      </c>
      <c r="P9">
        <v>8</v>
      </c>
      <c r="Q9">
        <v>30</v>
      </c>
      <c r="R9">
        <v>0</v>
      </c>
      <c r="S9">
        <v>3</v>
      </c>
      <c r="T9">
        <v>1</v>
      </c>
      <c r="U9">
        <v>7</v>
      </c>
      <c r="V9" t="s">
        <v>439</v>
      </c>
      <c r="W9" s="10" cm="1">
        <f t="array" aca="1" ref="W9" ca="1">INDEX(Caliber!B2:'Caliber'!C11,MATCH(INDIRECT(ADDRESS(ROW(),COLUMN()-1)),Caliber!B2:'Caliber'!B11,0),2)</f>
        <v>30</v>
      </c>
      <c r="X9" s="10" cm="1">
        <f t="array" aca="1" ref="X9" ca="1">INDEX(Caliber!C2:'Caliber'!D11,MATCH(INDIRECT(ADDRESS(ROW(),COLUMN()-2)),Caliber!B2:'Caliber'!B11,0),2)</f>
        <v>0.35</v>
      </c>
      <c r="Y9" t="s">
        <v>440</v>
      </c>
    </row>
    <row r="10" spans="1:26" x14ac:dyDescent="0.25">
      <c r="A10" t="s">
        <v>118</v>
      </c>
      <c r="B10">
        <v>15</v>
      </c>
      <c r="C10" t="s">
        <v>75</v>
      </c>
      <c r="D10">
        <v>23000</v>
      </c>
      <c r="E10" t="b">
        <v>0</v>
      </c>
      <c r="F10">
        <v>100</v>
      </c>
      <c r="G10">
        <v>115</v>
      </c>
      <c r="H10">
        <v>30</v>
      </c>
      <c r="I10">
        <v>25</v>
      </c>
      <c r="J10">
        <v>35</v>
      </c>
      <c r="K10">
        <v>45</v>
      </c>
      <c r="L10">
        <v>60</v>
      </c>
      <c r="M10">
        <v>40</v>
      </c>
      <c r="N10">
        <v>4</v>
      </c>
      <c r="O10">
        <v>6</v>
      </c>
      <c r="P10">
        <v>0</v>
      </c>
      <c r="Q10">
        <v>25</v>
      </c>
      <c r="R10">
        <v>0</v>
      </c>
      <c r="S10">
        <v>3</v>
      </c>
      <c r="T10">
        <v>1</v>
      </c>
      <c r="U10">
        <v>7</v>
      </c>
      <c r="V10" t="s">
        <v>16</v>
      </c>
      <c r="W10">
        <f>INDEX(Caliber!B2:'Caliber'!C9,MATCH(V10,Caliber!B2:'Caliber'!B9,0),2)</f>
        <v>34</v>
      </c>
      <c r="X10">
        <f>INDEX(Caliber!C2:'Caliber'!D9,MATCH(V10,Caliber!B2:'Caliber'!B9,0),2)</f>
        <v>0.4</v>
      </c>
      <c r="Y10" t="s">
        <v>119</v>
      </c>
    </row>
    <row r="11" spans="1:26" x14ac:dyDescent="0.25">
      <c r="A11" t="s">
        <v>112</v>
      </c>
      <c r="B11">
        <v>28</v>
      </c>
      <c r="C11" t="s">
        <v>75</v>
      </c>
      <c r="D11">
        <v>14000</v>
      </c>
      <c r="E11" t="b">
        <v>0</v>
      </c>
      <c r="F11">
        <v>100</v>
      </c>
      <c r="G11">
        <v>115</v>
      </c>
      <c r="H11">
        <v>25</v>
      </c>
      <c r="I11">
        <v>20</v>
      </c>
      <c r="J11">
        <v>30</v>
      </c>
      <c r="K11">
        <v>45</v>
      </c>
      <c r="L11">
        <v>55</v>
      </c>
      <c r="M11">
        <v>40</v>
      </c>
      <c r="N11">
        <v>6</v>
      </c>
      <c r="O11">
        <v>10</v>
      </c>
      <c r="P11">
        <v>4</v>
      </c>
      <c r="Q11">
        <v>20</v>
      </c>
      <c r="R11">
        <v>0</v>
      </c>
      <c r="S11">
        <v>3</v>
      </c>
      <c r="T11">
        <v>1</v>
      </c>
      <c r="U11">
        <v>7</v>
      </c>
      <c r="V11" t="s">
        <v>12</v>
      </c>
      <c r="W11" s="10">
        <f>INDEX(Caliber!B2:'Caliber'!C9,MATCH(V11,Caliber!B2:'Caliber'!B9,0),2)</f>
        <v>31</v>
      </c>
      <c r="X11" s="10">
        <f>INDEX(Caliber!C2:'Caliber'!D9,MATCH(V11,Caliber!B2:'Caliber'!B9,0),2)</f>
        <v>0</v>
      </c>
      <c r="Y11" t="s">
        <v>113</v>
      </c>
    </row>
    <row r="12" spans="1:26" x14ac:dyDescent="0.25">
      <c r="A12" t="s">
        <v>111</v>
      </c>
      <c r="B12">
        <v>14</v>
      </c>
      <c r="C12" t="s">
        <v>75</v>
      </c>
      <c r="D12" t="s">
        <v>76</v>
      </c>
      <c r="E12" t="b">
        <v>0</v>
      </c>
      <c r="F12">
        <v>100</v>
      </c>
      <c r="G12">
        <v>115</v>
      </c>
      <c r="H12">
        <v>35</v>
      </c>
      <c r="I12">
        <v>30</v>
      </c>
      <c r="J12">
        <v>40</v>
      </c>
      <c r="K12">
        <v>50</v>
      </c>
      <c r="L12">
        <v>60</v>
      </c>
      <c r="M12">
        <v>35</v>
      </c>
      <c r="N12">
        <v>7</v>
      </c>
      <c r="O12">
        <v>10</v>
      </c>
      <c r="P12">
        <v>4</v>
      </c>
      <c r="Q12">
        <v>20</v>
      </c>
      <c r="R12">
        <v>0</v>
      </c>
      <c r="S12">
        <v>3</v>
      </c>
      <c r="T12">
        <v>1</v>
      </c>
      <c r="U12">
        <v>7</v>
      </c>
      <c r="V12" t="s">
        <v>95</v>
      </c>
      <c r="W12">
        <f>INDEX(Caliber!B2:'Caliber'!C9,MATCH(V12,Caliber!B2:'Caliber'!B9,0),2)</f>
        <v>29</v>
      </c>
      <c r="X12">
        <f>INDEX(Caliber!C2:'Caliber'!D9,MATCH(V12,Caliber!B2:'Caliber'!B9,0),2)</f>
        <v>0</v>
      </c>
      <c r="Y12" t="s">
        <v>84</v>
      </c>
    </row>
    <row r="13" spans="1:26" x14ac:dyDescent="0.25">
      <c r="A13" t="s">
        <v>114</v>
      </c>
      <c r="B13">
        <v>20</v>
      </c>
      <c r="C13" t="s">
        <v>90</v>
      </c>
      <c r="D13">
        <v>19000</v>
      </c>
      <c r="E13" t="b">
        <v>1</v>
      </c>
      <c r="F13">
        <v>80</v>
      </c>
      <c r="G13">
        <v>115</v>
      </c>
      <c r="H13">
        <v>25</v>
      </c>
      <c r="I13">
        <v>20</v>
      </c>
      <c r="J13">
        <v>40</v>
      </c>
      <c r="K13">
        <v>50</v>
      </c>
      <c r="L13">
        <v>80</v>
      </c>
      <c r="M13">
        <v>30</v>
      </c>
      <c r="N13">
        <v>12</v>
      </c>
      <c r="O13">
        <v>14</v>
      </c>
      <c r="P13">
        <v>8</v>
      </c>
      <c r="Q13">
        <v>40</v>
      </c>
      <c r="R13">
        <v>0</v>
      </c>
      <c r="S13">
        <v>3</v>
      </c>
      <c r="T13">
        <v>1</v>
      </c>
      <c r="U13">
        <v>7</v>
      </c>
      <c r="V13" t="s">
        <v>14</v>
      </c>
      <c r="W13">
        <f>INDEX(Caliber!B2:'Caliber'!C9,MATCH(V13,Caliber!B2:'Caliber'!B9,0),2)</f>
        <v>35</v>
      </c>
      <c r="X13">
        <f>INDEX(Caliber!C2:'Caliber'!D9,MATCH(V13,Caliber!B2:'Caliber'!B9,0),2)</f>
        <v>0.1</v>
      </c>
      <c r="Y13" t="s">
        <v>115</v>
      </c>
    </row>
    <row r="14" spans="1:26" x14ac:dyDescent="0.25">
      <c r="A14" t="s">
        <v>104</v>
      </c>
      <c r="B14">
        <v>13</v>
      </c>
      <c r="C14" t="s">
        <v>75</v>
      </c>
      <c r="D14" t="s">
        <v>76</v>
      </c>
      <c r="E14" t="b">
        <v>1</v>
      </c>
      <c r="F14">
        <v>80</v>
      </c>
      <c r="G14">
        <v>115</v>
      </c>
      <c r="H14">
        <v>30</v>
      </c>
      <c r="I14">
        <v>25</v>
      </c>
      <c r="J14">
        <v>35</v>
      </c>
      <c r="K14">
        <v>45</v>
      </c>
      <c r="L14">
        <v>60</v>
      </c>
      <c r="M14">
        <v>30</v>
      </c>
      <c r="N14">
        <v>7</v>
      </c>
      <c r="O14">
        <v>10</v>
      </c>
      <c r="P14">
        <v>4</v>
      </c>
      <c r="Q14">
        <v>20</v>
      </c>
      <c r="R14">
        <v>0</v>
      </c>
      <c r="S14">
        <v>3</v>
      </c>
      <c r="T14">
        <v>1</v>
      </c>
      <c r="U14">
        <v>7</v>
      </c>
      <c r="V14" t="s">
        <v>12</v>
      </c>
      <c r="W14" s="10">
        <f>INDEX(Caliber!B2:'Caliber'!C9,MATCH(V14,Caliber!B2:'Caliber'!B9,0),2)</f>
        <v>31</v>
      </c>
      <c r="X14" s="10">
        <f>INDEX(Caliber!C2:'Caliber'!D9,MATCH(V14,Caliber!B2:'Caliber'!B9,0),2)</f>
        <v>0</v>
      </c>
      <c r="Y14" t="s">
        <v>105</v>
      </c>
    </row>
    <row r="15" spans="1:26" x14ac:dyDescent="0.25">
      <c r="A15" t="s">
        <v>428</v>
      </c>
      <c r="B15">
        <v>22</v>
      </c>
      <c r="C15" t="s">
        <v>90</v>
      </c>
      <c r="D15">
        <v>25000</v>
      </c>
      <c r="E15" t="b">
        <v>1</v>
      </c>
      <c r="F15">
        <v>80</v>
      </c>
      <c r="G15">
        <v>115</v>
      </c>
      <c r="H15">
        <v>20</v>
      </c>
      <c r="I15">
        <v>15</v>
      </c>
      <c r="J15">
        <v>25</v>
      </c>
      <c r="K15">
        <v>30</v>
      </c>
      <c r="L15">
        <v>50</v>
      </c>
      <c r="M15">
        <v>30</v>
      </c>
      <c r="N15">
        <v>8</v>
      </c>
      <c r="O15">
        <v>10</v>
      </c>
      <c r="P15">
        <v>3</v>
      </c>
      <c r="Q15">
        <v>20</v>
      </c>
      <c r="R15">
        <v>0</v>
      </c>
      <c r="S15">
        <v>5</v>
      </c>
      <c r="T15">
        <v>1</v>
      </c>
      <c r="U15">
        <v>10</v>
      </c>
      <c r="V15" t="s">
        <v>12</v>
      </c>
      <c r="W15" s="10">
        <f>INDEX(Caliber!B2:'Caliber'!C9,MATCH(V15,Caliber!B2:'Caliber'!B9,0),2)</f>
        <v>31</v>
      </c>
      <c r="X15" s="10">
        <f>INDEX(Caliber!C2:'Caliber'!D9,MATCH(V15,Caliber!B2:'Caliber'!B9,0),2)</f>
        <v>0</v>
      </c>
      <c r="Y15" t="s">
        <v>429</v>
      </c>
    </row>
    <row r="16" spans="1:26" x14ac:dyDescent="0.25">
      <c r="A16" t="s">
        <v>527</v>
      </c>
      <c r="B16">
        <v>19</v>
      </c>
      <c r="C16" t="s">
        <v>90</v>
      </c>
      <c r="D16" t="s">
        <v>76</v>
      </c>
      <c r="E16" t="b">
        <v>1</v>
      </c>
      <c r="F16">
        <v>80</v>
      </c>
      <c r="G16">
        <v>115</v>
      </c>
      <c r="H16">
        <v>40</v>
      </c>
      <c r="I16">
        <v>35</v>
      </c>
      <c r="J16">
        <v>45</v>
      </c>
      <c r="K16">
        <v>55</v>
      </c>
      <c r="L16">
        <v>65</v>
      </c>
      <c r="M16">
        <v>35</v>
      </c>
      <c r="N16">
        <v>9</v>
      </c>
      <c r="O16">
        <v>11</v>
      </c>
      <c r="P16">
        <v>7</v>
      </c>
      <c r="Q16">
        <v>30</v>
      </c>
      <c r="R16">
        <v>0</v>
      </c>
      <c r="S16">
        <v>3</v>
      </c>
      <c r="T16">
        <v>1</v>
      </c>
      <c r="U16">
        <v>6</v>
      </c>
      <c r="V16" t="s">
        <v>14</v>
      </c>
      <c r="W16" s="10">
        <f>INDEX(Caliber!B2:'Caliber'!C9,MATCH(V16,Caliber!B2:'Caliber'!B9,0),2)</f>
        <v>35</v>
      </c>
      <c r="X16" s="10">
        <f>INDEX(Caliber!C2:'Caliber'!D9,MATCH(V16,Caliber!B2:'Caliber'!B9,0),2)</f>
        <v>0.1</v>
      </c>
      <c r="Y16" t="s">
        <v>115</v>
      </c>
    </row>
    <row r="17" spans="1:25" x14ac:dyDescent="0.25">
      <c r="A17" t="s">
        <v>572</v>
      </c>
      <c r="B17">
        <v>26</v>
      </c>
      <c r="C17" t="s">
        <v>90</v>
      </c>
      <c r="D17" t="s">
        <v>76</v>
      </c>
      <c r="E17" t="b">
        <v>1</v>
      </c>
      <c r="F17">
        <v>80</v>
      </c>
      <c r="G17">
        <v>115</v>
      </c>
      <c r="H17">
        <v>25</v>
      </c>
      <c r="I17">
        <v>15</v>
      </c>
      <c r="J17">
        <v>25</v>
      </c>
      <c r="K17">
        <v>30</v>
      </c>
      <c r="L17">
        <v>40</v>
      </c>
      <c r="M17">
        <v>20</v>
      </c>
      <c r="N17">
        <v>6</v>
      </c>
      <c r="O17">
        <v>9</v>
      </c>
      <c r="P17">
        <v>4</v>
      </c>
      <c r="Q17">
        <v>20</v>
      </c>
      <c r="R17">
        <v>0</v>
      </c>
      <c r="S17">
        <v>5</v>
      </c>
      <c r="T17">
        <v>1</v>
      </c>
      <c r="U17">
        <v>10</v>
      </c>
      <c r="V17" t="s">
        <v>14</v>
      </c>
      <c r="W17" s="10">
        <f>INDEX(Caliber!B2:'Caliber'!C9,MATCH(V16,Caliber!B2:'Caliber'!B9,0),2)</f>
        <v>35</v>
      </c>
      <c r="X17" s="10">
        <f>INDEX(Caliber!C2:'Caliber'!D9,MATCH(V16,Caliber!B2:'Caliber'!B9,0),2)</f>
        <v>0.1</v>
      </c>
      <c r="Y17" t="s">
        <v>115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052D-1B88-4699-843E-12AA607B59B8}">
  <dimension ref="A1:AA57"/>
  <sheetViews>
    <sheetView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Z57" sqref="Z57"/>
    </sheetView>
  </sheetViews>
  <sheetFormatPr defaultRowHeight="15" x14ac:dyDescent="0.25"/>
  <cols>
    <col min="1" max="1" width="20.7109375" customWidth="1"/>
    <col min="2" max="2" width="9.28515625" customWidth="1"/>
    <col min="5" max="5" width="18.5703125" customWidth="1"/>
    <col min="6" max="6" width="13.7109375" customWidth="1"/>
    <col min="7" max="7" width="16.140625" customWidth="1"/>
    <col min="8" max="8" width="14" customWidth="1"/>
    <col min="9" max="9" width="10.85546875" customWidth="1"/>
    <col min="10" max="11" width="9.28515625" customWidth="1"/>
    <col min="12" max="12" width="11.7109375" customWidth="1"/>
    <col min="13" max="13" width="10.140625" customWidth="1"/>
    <col min="14" max="14" width="11.28515625" customWidth="1"/>
    <col min="15" max="15" width="14" customWidth="1"/>
    <col min="16" max="17" width="12.42578125" customWidth="1"/>
    <col min="18" max="18" width="12.28515625" customWidth="1"/>
    <col min="19" max="19" width="12" customWidth="1"/>
    <col min="20" max="20" width="14.140625" customWidth="1"/>
    <col min="21" max="21" width="12.42578125" customWidth="1"/>
    <col min="22" max="22" width="12.28515625" customWidth="1"/>
    <col min="23" max="23" width="14.42578125" customWidth="1"/>
    <col min="24" max="24" width="11.5703125" customWidth="1"/>
    <col min="25" max="25" width="13.5703125" customWidth="1"/>
    <col min="26" max="26" width="11.7109375" customWidth="1"/>
    <col min="27" max="27" width="29.7109375" customWidth="1"/>
  </cols>
  <sheetData>
    <row r="1" spans="1:27" x14ac:dyDescent="0.25">
      <c r="A1" s="19" t="s">
        <v>0</v>
      </c>
      <c r="B1" s="19" t="s">
        <v>58</v>
      </c>
      <c r="C1" s="19" t="s">
        <v>59</v>
      </c>
      <c r="D1" s="19" t="s">
        <v>74</v>
      </c>
      <c r="E1" s="19" t="s">
        <v>124</v>
      </c>
      <c r="F1" s="19" t="s">
        <v>60</v>
      </c>
      <c r="G1" s="19" t="s">
        <v>61</v>
      </c>
      <c r="H1" s="19" t="s">
        <v>62</v>
      </c>
      <c r="I1" s="19" t="s">
        <v>63</v>
      </c>
      <c r="J1" s="19" t="s">
        <v>64</v>
      </c>
      <c r="K1" s="19" t="s">
        <v>65</v>
      </c>
      <c r="L1" s="19" t="s">
        <v>66</v>
      </c>
      <c r="M1" s="19" t="s">
        <v>67</v>
      </c>
      <c r="N1" s="19" t="s">
        <v>68</v>
      </c>
      <c r="O1" s="19" t="s">
        <v>69</v>
      </c>
      <c r="P1" s="19" t="s">
        <v>70</v>
      </c>
      <c r="Q1" s="19" t="s">
        <v>71</v>
      </c>
      <c r="R1" s="19" t="s">
        <v>72</v>
      </c>
      <c r="S1" s="19" t="s">
        <v>73</v>
      </c>
      <c r="T1" s="19" t="s">
        <v>86</v>
      </c>
      <c r="U1" s="19" t="s">
        <v>87</v>
      </c>
      <c r="V1" s="19" t="s">
        <v>88</v>
      </c>
      <c r="W1" s="19" t="s">
        <v>80</v>
      </c>
      <c r="X1" s="19" t="s">
        <v>2</v>
      </c>
      <c r="Y1" s="19" t="s">
        <v>81</v>
      </c>
      <c r="Z1" s="19" t="s">
        <v>78</v>
      </c>
      <c r="AA1" s="19" t="s">
        <v>21</v>
      </c>
    </row>
    <row r="2" spans="1:27" x14ac:dyDescent="0.25">
      <c r="A2" t="s">
        <v>205</v>
      </c>
      <c r="B2">
        <v>23</v>
      </c>
      <c r="C2" t="s">
        <v>90</v>
      </c>
      <c r="D2" t="s">
        <v>76</v>
      </c>
      <c r="E2" t="s">
        <v>76</v>
      </c>
      <c r="F2" t="b">
        <v>1</v>
      </c>
      <c r="G2">
        <v>50</v>
      </c>
      <c r="H2">
        <v>125</v>
      </c>
      <c r="I2">
        <v>55</v>
      </c>
      <c r="J2">
        <v>45</v>
      </c>
      <c r="K2">
        <v>60</v>
      </c>
      <c r="L2">
        <v>50</v>
      </c>
      <c r="M2">
        <v>60</v>
      </c>
      <c r="N2">
        <v>35</v>
      </c>
      <c r="O2">
        <v>24</v>
      </c>
      <c r="P2">
        <v>34</v>
      </c>
      <c r="Q2">
        <v>10</v>
      </c>
      <c r="R2">
        <v>200</v>
      </c>
      <c r="S2">
        <v>0</v>
      </c>
      <c r="T2">
        <v>3</v>
      </c>
      <c r="U2">
        <v>1</v>
      </c>
      <c r="V2">
        <v>5</v>
      </c>
      <c r="W2" t="s">
        <v>19</v>
      </c>
      <c r="X2" cm="1">
        <f t="array" aca="1" ref="X2" ca="1">INDEX(Caliber!B13:'Caliber'!C23,MATCH(INDIRECT(ADDRESS(ROW(),COLUMN()-1)),Caliber!B13:'Caliber'!B23,0),2)</f>
        <v>36</v>
      </c>
      <c r="Y2" cm="1">
        <f t="array" aca="1" ref="Y2" ca="1">INDEX(Caliber!C13:'Caliber'!D23,MATCH(INDIRECT(ADDRESS(ROW(),COLUMN()-2)),Caliber!B13:'Caliber'!B23,0),2)</f>
        <v>0.3</v>
      </c>
      <c r="Z2" t="s">
        <v>134</v>
      </c>
    </row>
    <row r="3" spans="1:27" x14ac:dyDescent="0.25">
      <c r="A3" t="s">
        <v>133</v>
      </c>
      <c r="B3">
        <v>20</v>
      </c>
      <c r="C3" t="s">
        <v>90</v>
      </c>
      <c r="D3">
        <v>28000</v>
      </c>
      <c r="E3" t="s">
        <v>76</v>
      </c>
      <c r="F3" t="b">
        <v>1</v>
      </c>
      <c r="G3">
        <v>50</v>
      </c>
      <c r="H3">
        <v>125</v>
      </c>
      <c r="I3">
        <v>55</v>
      </c>
      <c r="J3">
        <v>45</v>
      </c>
      <c r="K3">
        <v>60</v>
      </c>
      <c r="L3">
        <v>60</v>
      </c>
      <c r="M3">
        <v>70</v>
      </c>
      <c r="N3">
        <v>45</v>
      </c>
      <c r="O3">
        <v>25</v>
      </c>
      <c r="P3">
        <v>35</v>
      </c>
      <c r="Q3">
        <v>11</v>
      </c>
      <c r="R3">
        <v>200</v>
      </c>
      <c r="S3">
        <v>0</v>
      </c>
      <c r="T3">
        <v>3</v>
      </c>
      <c r="U3">
        <v>1</v>
      </c>
      <c r="V3">
        <v>5</v>
      </c>
      <c r="W3" t="s">
        <v>19</v>
      </c>
      <c r="X3">
        <f>INDEX(Caliber!B13:'Caliber'!C23,MATCH(W3,Caliber!B13:'Caliber'!B23,0),2)</f>
        <v>36</v>
      </c>
      <c r="Y3">
        <f>INDEX(Caliber!C13:'Caliber'!D23,MATCH(W3,Caliber!B13:'Caliber'!B23,0),2)</f>
        <v>0.3</v>
      </c>
      <c r="Z3" t="s">
        <v>134</v>
      </c>
    </row>
    <row r="4" spans="1:27" x14ac:dyDescent="0.25">
      <c r="A4" t="s">
        <v>135</v>
      </c>
      <c r="B4">
        <v>22</v>
      </c>
      <c r="C4" t="s">
        <v>90</v>
      </c>
      <c r="D4" t="s">
        <v>76</v>
      </c>
      <c r="E4" t="s">
        <v>76</v>
      </c>
      <c r="F4" t="b">
        <v>1</v>
      </c>
      <c r="G4">
        <v>50</v>
      </c>
      <c r="H4">
        <v>125</v>
      </c>
      <c r="I4">
        <v>70</v>
      </c>
      <c r="J4">
        <v>45</v>
      </c>
      <c r="K4">
        <v>60</v>
      </c>
      <c r="L4">
        <v>80</v>
      </c>
      <c r="M4">
        <v>65</v>
      </c>
      <c r="N4">
        <v>35</v>
      </c>
      <c r="O4">
        <v>30</v>
      </c>
      <c r="P4">
        <v>40</v>
      </c>
      <c r="Q4">
        <v>11</v>
      </c>
      <c r="R4">
        <v>200</v>
      </c>
      <c r="S4">
        <v>0</v>
      </c>
      <c r="T4">
        <v>3</v>
      </c>
      <c r="U4">
        <v>1</v>
      </c>
      <c r="V4">
        <v>5</v>
      </c>
      <c r="W4" t="s">
        <v>19</v>
      </c>
      <c r="X4">
        <f>INDEX(Caliber!B13:'Caliber'!C23,MATCH(W4,Caliber!B13:'Caliber'!B23,0),2)</f>
        <v>36</v>
      </c>
      <c r="Y4">
        <f>INDEX(Caliber!C13:'Caliber'!D23,MATCH(W4,Caliber!B13:'Caliber'!B23,0),2)</f>
        <v>0.3</v>
      </c>
      <c r="Z4" t="s">
        <v>134</v>
      </c>
    </row>
    <row r="5" spans="1:27" x14ac:dyDescent="0.25">
      <c r="A5" t="s">
        <v>136</v>
      </c>
      <c r="B5">
        <v>22</v>
      </c>
      <c r="C5" t="s">
        <v>90</v>
      </c>
      <c r="D5">
        <v>31000</v>
      </c>
      <c r="E5" t="s">
        <v>76</v>
      </c>
      <c r="F5" t="b">
        <v>1</v>
      </c>
      <c r="G5">
        <v>50</v>
      </c>
      <c r="H5">
        <v>125</v>
      </c>
      <c r="I5">
        <v>55</v>
      </c>
      <c r="J5">
        <v>45</v>
      </c>
      <c r="K5">
        <v>60</v>
      </c>
      <c r="L5">
        <v>65</v>
      </c>
      <c r="M5">
        <v>70</v>
      </c>
      <c r="N5">
        <v>40</v>
      </c>
      <c r="O5">
        <v>33</v>
      </c>
      <c r="P5">
        <v>43</v>
      </c>
      <c r="Q5">
        <v>10</v>
      </c>
      <c r="R5">
        <v>200</v>
      </c>
      <c r="S5">
        <v>0</v>
      </c>
      <c r="T5">
        <v>3</v>
      </c>
      <c r="U5">
        <v>1</v>
      </c>
      <c r="V5">
        <v>5</v>
      </c>
      <c r="W5" t="s">
        <v>25</v>
      </c>
      <c r="X5">
        <f>INDEX(Caliber!B13:'Caliber'!C23,MATCH(W5,Caliber!B13:'Caliber'!B23,0),2)</f>
        <v>43</v>
      </c>
      <c r="Y5">
        <f>INDEX(Caliber!C13:'Caliber'!D23,MATCH(W5,Caliber!B13:'Caliber'!B23,0),2)</f>
        <v>0.6</v>
      </c>
      <c r="Z5" t="s">
        <v>137</v>
      </c>
    </row>
    <row r="6" spans="1:27" x14ac:dyDescent="0.25">
      <c r="A6" t="s">
        <v>138</v>
      </c>
      <c r="B6">
        <v>24</v>
      </c>
      <c r="C6" t="s">
        <v>90</v>
      </c>
      <c r="D6" t="s">
        <v>76</v>
      </c>
      <c r="E6" t="s">
        <v>76</v>
      </c>
      <c r="F6" t="b">
        <v>1</v>
      </c>
      <c r="G6">
        <v>50</v>
      </c>
      <c r="H6">
        <v>125</v>
      </c>
      <c r="I6">
        <v>70</v>
      </c>
      <c r="J6">
        <v>45</v>
      </c>
      <c r="K6">
        <v>60</v>
      </c>
      <c r="L6">
        <v>85</v>
      </c>
      <c r="M6">
        <v>65</v>
      </c>
      <c r="N6">
        <v>30</v>
      </c>
      <c r="O6">
        <v>38</v>
      </c>
      <c r="P6">
        <v>48</v>
      </c>
      <c r="Q6">
        <v>10</v>
      </c>
      <c r="R6">
        <v>200</v>
      </c>
      <c r="S6">
        <v>0</v>
      </c>
      <c r="T6">
        <v>3</v>
      </c>
      <c r="U6">
        <v>1</v>
      </c>
      <c r="V6">
        <v>5</v>
      </c>
      <c r="W6" t="s">
        <v>25</v>
      </c>
      <c r="X6">
        <f>INDEX(Caliber!B13:'Caliber'!C23,MATCH(W6,Caliber!B13:'Caliber'!B23,0),2)</f>
        <v>43</v>
      </c>
      <c r="Y6">
        <f>INDEX(Caliber!C13:'Caliber'!D23,MATCH(W6,Caliber!B13:'Caliber'!B23,0),2)</f>
        <v>0.6</v>
      </c>
      <c r="Z6" t="s">
        <v>137</v>
      </c>
    </row>
    <row r="7" spans="1:27" x14ac:dyDescent="0.25">
      <c r="A7" t="s">
        <v>533</v>
      </c>
      <c r="B7">
        <v>31</v>
      </c>
      <c r="C7" t="s">
        <v>90</v>
      </c>
      <c r="D7" t="s">
        <v>76</v>
      </c>
      <c r="E7" t="s">
        <v>531</v>
      </c>
      <c r="F7" t="b">
        <v>1</v>
      </c>
      <c r="G7">
        <v>50</v>
      </c>
      <c r="H7">
        <v>125</v>
      </c>
      <c r="I7">
        <v>55</v>
      </c>
      <c r="J7">
        <v>70</v>
      </c>
      <c r="K7">
        <v>60</v>
      </c>
      <c r="L7">
        <v>50</v>
      </c>
      <c r="M7">
        <v>35</v>
      </c>
      <c r="N7">
        <v>35</v>
      </c>
      <c r="O7">
        <v>24</v>
      </c>
      <c r="P7">
        <v>16</v>
      </c>
      <c r="Q7">
        <v>10</v>
      </c>
      <c r="R7">
        <v>200</v>
      </c>
      <c r="S7">
        <v>0</v>
      </c>
      <c r="T7">
        <v>3</v>
      </c>
      <c r="U7">
        <v>1</v>
      </c>
      <c r="V7">
        <v>5</v>
      </c>
      <c r="W7" t="s">
        <v>19</v>
      </c>
      <c r="X7" cm="1">
        <f t="array" aca="1" ref="X7" ca="1">INDEX(Caliber!B13:'Caliber'!C23,MATCH(INDIRECT(ADDRESS(ROW(),COLUMN()-1)),Caliber!B13:'Caliber'!B23,0),2)</f>
        <v>36</v>
      </c>
      <c r="Y7" cm="1">
        <f t="array" aca="1" ref="Y7" ca="1">INDEX(Caliber!C13:'Caliber'!D23,MATCH(INDIRECT(ADDRESS(ROW(),COLUMN()-2)),Caliber!B13:'Caliber'!B23,0),2)</f>
        <v>0.3</v>
      </c>
      <c r="Z7" t="s">
        <v>532</v>
      </c>
    </row>
    <row r="8" spans="1:27" x14ac:dyDescent="0.25">
      <c r="A8" t="s">
        <v>203</v>
      </c>
      <c r="B8">
        <v>24</v>
      </c>
      <c r="C8" t="s">
        <v>90</v>
      </c>
      <c r="D8" t="s">
        <v>76</v>
      </c>
      <c r="E8" t="s">
        <v>76</v>
      </c>
      <c r="F8" t="b">
        <v>1</v>
      </c>
      <c r="G8">
        <v>50</v>
      </c>
      <c r="H8">
        <v>125</v>
      </c>
      <c r="I8">
        <v>55</v>
      </c>
      <c r="J8">
        <v>45</v>
      </c>
      <c r="K8">
        <v>60</v>
      </c>
      <c r="L8">
        <v>55</v>
      </c>
      <c r="M8">
        <v>65</v>
      </c>
      <c r="N8">
        <v>25</v>
      </c>
      <c r="O8">
        <v>28</v>
      </c>
      <c r="P8">
        <v>38</v>
      </c>
      <c r="Q8">
        <v>7</v>
      </c>
      <c r="R8">
        <v>200</v>
      </c>
      <c r="S8">
        <v>0</v>
      </c>
      <c r="T8">
        <v>3</v>
      </c>
      <c r="U8">
        <v>1</v>
      </c>
      <c r="V8">
        <v>5</v>
      </c>
      <c r="W8" t="s">
        <v>25</v>
      </c>
      <c r="X8" cm="1">
        <f t="array" aca="1" ref="X8" ca="1">INDEX(Caliber!B13:'Caliber'!C23,MATCH(INDIRECT(ADDRESS(ROW(),COLUMN()-1)),Caliber!B13:'Caliber'!B23,0),2)</f>
        <v>43</v>
      </c>
      <c r="Y8" cm="1">
        <f t="array" aca="1" ref="Y8" ca="1">INDEX(Caliber!C13:'Caliber'!D23,MATCH(INDIRECT(ADDRESS(ROW(),COLUMN()-2)),Caliber!B13:'Caliber'!B23,0),2)</f>
        <v>0.6</v>
      </c>
      <c r="Z8" t="s">
        <v>137</v>
      </c>
    </row>
    <row r="9" spans="1:27" x14ac:dyDescent="0.25">
      <c r="A9" t="s">
        <v>454</v>
      </c>
      <c r="B9">
        <v>21</v>
      </c>
      <c r="C9" t="s">
        <v>90</v>
      </c>
      <c r="D9" t="s">
        <v>76</v>
      </c>
      <c r="E9" t="s">
        <v>76</v>
      </c>
      <c r="F9" t="b">
        <v>1</v>
      </c>
      <c r="G9">
        <v>50</v>
      </c>
      <c r="H9">
        <v>125</v>
      </c>
      <c r="I9">
        <v>50</v>
      </c>
      <c r="J9">
        <v>41</v>
      </c>
      <c r="K9">
        <v>57</v>
      </c>
      <c r="L9">
        <v>48</v>
      </c>
      <c r="M9">
        <v>61</v>
      </c>
      <c r="N9">
        <v>37</v>
      </c>
      <c r="O9">
        <v>24</v>
      </c>
      <c r="P9">
        <v>34</v>
      </c>
      <c r="Q9">
        <v>10</v>
      </c>
      <c r="R9">
        <v>200</v>
      </c>
      <c r="S9">
        <v>0</v>
      </c>
      <c r="T9">
        <v>3</v>
      </c>
      <c r="U9">
        <v>1</v>
      </c>
      <c r="V9">
        <v>5</v>
      </c>
      <c r="W9" t="s">
        <v>19</v>
      </c>
      <c r="X9" cm="1">
        <f t="array" aca="1" ref="X9" ca="1">INDEX(Caliber!B13:'Caliber'!C23,MATCH(INDIRECT(ADDRESS(ROW(),COLUMN()-1)),Caliber!B13:'Caliber'!B23,0),2)</f>
        <v>36</v>
      </c>
      <c r="Y9" cm="1">
        <f t="array" aca="1" ref="Y9" ca="1">INDEX(Caliber!C13:'Caliber'!D23,MATCH(INDIRECT(ADDRESS(ROW(),COLUMN()-2)),Caliber!B13:'Caliber'!B23,0),2)</f>
        <v>0.3</v>
      </c>
      <c r="Z9" t="s">
        <v>134</v>
      </c>
    </row>
    <row r="10" spans="1:27" x14ac:dyDescent="0.25">
      <c r="A10" t="s">
        <v>455</v>
      </c>
      <c r="B10">
        <v>19</v>
      </c>
      <c r="C10" t="s">
        <v>90</v>
      </c>
      <c r="D10" t="s">
        <v>76</v>
      </c>
      <c r="E10" t="s">
        <v>76</v>
      </c>
      <c r="F10" t="b">
        <v>1</v>
      </c>
      <c r="G10">
        <v>50</v>
      </c>
      <c r="H10">
        <v>125</v>
      </c>
      <c r="I10">
        <v>70</v>
      </c>
      <c r="J10">
        <v>38</v>
      </c>
      <c r="K10">
        <v>55</v>
      </c>
      <c r="L10">
        <v>68</v>
      </c>
      <c r="M10">
        <v>61</v>
      </c>
      <c r="N10">
        <v>37</v>
      </c>
      <c r="O10">
        <v>29</v>
      </c>
      <c r="P10">
        <v>36</v>
      </c>
      <c r="Q10">
        <v>15</v>
      </c>
      <c r="R10">
        <v>200</v>
      </c>
      <c r="S10">
        <v>0</v>
      </c>
      <c r="T10">
        <v>3</v>
      </c>
      <c r="U10">
        <v>1</v>
      </c>
      <c r="V10">
        <v>5</v>
      </c>
      <c r="W10" t="s">
        <v>19</v>
      </c>
      <c r="X10" cm="1">
        <f t="array" aca="1" ref="X10" ca="1">INDEX(Caliber!B13:'Caliber'!C23,MATCH(INDIRECT(ADDRESS(ROW(),COLUMN()-1)),Caliber!B13:'Caliber'!B23,0),2)</f>
        <v>36</v>
      </c>
      <c r="Y10" cm="1">
        <f t="array" aca="1" ref="Y10" ca="1">INDEX(Caliber!C13:'Caliber'!D23,MATCH(INDIRECT(ADDRESS(ROW(),COLUMN()-2)),Caliber!B13:'Caliber'!B23,0),2)</f>
        <v>0.3</v>
      </c>
      <c r="Z10" t="s">
        <v>134</v>
      </c>
    </row>
    <row r="11" spans="1:27" x14ac:dyDescent="0.25">
      <c r="A11" t="s">
        <v>201</v>
      </c>
      <c r="B11">
        <v>22</v>
      </c>
      <c r="C11" t="s">
        <v>90</v>
      </c>
      <c r="D11" t="s">
        <v>76</v>
      </c>
      <c r="E11" t="s">
        <v>76</v>
      </c>
      <c r="F11" t="b">
        <v>1</v>
      </c>
      <c r="G11">
        <v>50</v>
      </c>
      <c r="H11">
        <v>125</v>
      </c>
      <c r="I11">
        <v>60</v>
      </c>
      <c r="J11">
        <v>35</v>
      </c>
      <c r="K11">
        <v>60</v>
      </c>
      <c r="L11">
        <v>55</v>
      </c>
      <c r="M11">
        <v>55</v>
      </c>
      <c r="N11">
        <v>40</v>
      </c>
      <c r="O11">
        <v>33</v>
      </c>
      <c r="P11">
        <v>30</v>
      </c>
      <c r="Q11">
        <v>11</v>
      </c>
      <c r="R11">
        <v>200</v>
      </c>
      <c r="S11">
        <v>0</v>
      </c>
      <c r="T11">
        <v>3</v>
      </c>
      <c r="U11">
        <v>1</v>
      </c>
      <c r="V11">
        <v>5</v>
      </c>
      <c r="W11" t="s">
        <v>120</v>
      </c>
      <c r="X11">
        <f>INDEX(Caliber!B13:'Caliber'!C23,MATCH(W11,Caliber!B13:'Caliber'!B23,0),2)</f>
        <v>37</v>
      </c>
      <c r="Y11">
        <f>INDEX(Caliber!C13:'Caliber'!D23,MATCH(W11,Caliber!B13:'Caliber'!B23,0),2)</f>
        <v>0.4</v>
      </c>
      <c r="Z11" t="s">
        <v>117</v>
      </c>
    </row>
    <row r="12" spans="1:27" x14ac:dyDescent="0.25">
      <c r="A12" t="s">
        <v>202</v>
      </c>
      <c r="B12">
        <v>22</v>
      </c>
      <c r="C12" t="s">
        <v>90</v>
      </c>
      <c r="D12" t="s">
        <v>76</v>
      </c>
      <c r="E12" t="s">
        <v>76</v>
      </c>
      <c r="F12" t="b">
        <v>1</v>
      </c>
      <c r="G12">
        <v>50</v>
      </c>
      <c r="H12">
        <v>125</v>
      </c>
      <c r="I12">
        <v>70</v>
      </c>
      <c r="J12">
        <v>35</v>
      </c>
      <c r="K12" t="s">
        <v>76</v>
      </c>
      <c r="L12">
        <v>75</v>
      </c>
      <c r="M12">
        <v>45</v>
      </c>
      <c r="N12" t="s">
        <v>76</v>
      </c>
      <c r="O12">
        <v>34</v>
      </c>
      <c r="P12">
        <v>25</v>
      </c>
      <c r="Q12" t="s">
        <v>76</v>
      </c>
      <c r="R12">
        <v>200</v>
      </c>
      <c r="S12">
        <v>0</v>
      </c>
      <c r="T12">
        <v>1</v>
      </c>
      <c r="U12">
        <v>1</v>
      </c>
      <c r="V12" t="s">
        <v>76</v>
      </c>
      <c r="W12" t="s">
        <v>120</v>
      </c>
      <c r="X12">
        <f>INDEX(Caliber!B13:'Caliber'!C23,MATCH(W12,Caliber!B13:'Caliber'!B23,0),2)</f>
        <v>37</v>
      </c>
      <c r="Y12">
        <f>INDEX(Caliber!C13:'Caliber'!D23,MATCH(W12,Caliber!B13:'Caliber'!B23,0),2)</f>
        <v>0.4</v>
      </c>
      <c r="Z12" t="s">
        <v>117</v>
      </c>
    </row>
    <row r="13" spans="1:27" x14ac:dyDescent="0.25">
      <c r="A13" t="s">
        <v>139</v>
      </c>
      <c r="B13">
        <v>28</v>
      </c>
      <c r="C13" t="s">
        <v>90</v>
      </c>
      <c r="D13">
        <v>28000</v>
      </c>
      <c r="E13" t="s">
        <v>76</v>
      </c>
      <c r="F13" t="b">
        <v>1</v>
      </c>
      <c r="G13">
        <v>50</v>
      </c>
      <c r="H13">
        <v>125</v>
      </c>
      <c r="I13">
        <v>55</v>
      </c>
      <c r="J13">
        <v>45</v>
      </c>
      <c r="K13">
        <v>40</v>
      </c>
      <c r="L13">
        <v>55</v>
      </c>
      <c r="M13">
        <v>45</v>
      </c>
      <c r="N13">
        <v>50</v>
      </c>
      <c r="O13">
        <v>18</v>
      </c>
      <c r="P13">
        <v>28</v>
      </c>
      <c r="Q13">
        <v>12</v>
      </c>
      <c r="R13">
        <v>200</v>
      </c>
      <c r="S13">
        <v>0</v>
      </c>
      <c r="T13">
        <v>3</v>
      </c>
      <c r="U13">
        <v>1</v>
      </c>
      <c r="V13">
        <v>5</v>
      </c>
      <c r="W13" t="s">
        <v>120</v>
      </c>
      <c r="X13">
        <f>INDEX(Caliber!B13:'Caliber'!C23,MATCH(W13,Caliber!B13:'Caliber'!B23,0),2)</f>
        <v>37</v>
      </c>
      <c r="Y13">
        <f>INDEX(Caliber!C13:'Caliber'!D23,MATCH(W13,Caliber!B13:'Caliber'!B23,0),2)</f>
        <v>0.4</v>
      </c>
      <c r="Z13" t="s">
        <v>125</v>
      </c>
      <c r="AA13" t="s">
        <v>140</v>
      </c>
    </row>
    <row r="14" spans="1:27" x14ac:dyDescent="0.25">
      <c r="A14" t="s">
        <v>141</v>
      </c>
      <c r="B14">
        <v>30</v>
      </c>
      <c r="C14" t="s">
        <v>90</v>
      </c>
      <c r="D14" t="s">
        <v>76</v>
      </c>
      <c r="E14" t="s">
        <v>76</v>
      </c>
      <c r="F14" t="b">
        <v>1</v>
      </c>
      <c r="G14">
        <v>50</v>
      </c>
      <c r="H14">
        <v>125</v>
      </c>
      <c r="I14">
        <v>70</v>
      </c>
      <c r="J14">
        <v>45</v>
      </c>
      <c r="K14">
        <v>40</v>
      </c>
      <c r="L14">
        <v>74</v>
      </c>
      <c r="M14">
        <v>40</v>
      </c>
      <c r="N14">
        <v>35</v>
      </c>
      <c r="O14">
        <v>23</v>
      </c>
      <c r="P14">
        <v>33</v>
      </c>
      <c r="Q14">
        <v>12</v>
      </c>
      <c r="R14">
        <v>200</v>
      </c>
      <c r="S14">
        <v>0</v>
      </c>
      <c r="T14">
        <v>3</v>
      </c>
      <c r="U14">
        <v>1</v>
      </c>
      <c r="V14">
        <v>5</v>
      </c>
      <c r="W14" t="s">
        <v>120</v>
      </c>
      <c r="X14">
        <f>INDEX(Caliber!B13:'Caliber'!C23,MATCH(W14,Caliber!B13:'Caliber'!B23,0),2)</f>
        <v>37</v>
      </c>
      <c r="Y14">
        <f>INDEX(Caliber!C13:'Caliber'!D23,MATCH(W14,Caliber!B13:'Caliber'!B23,0),2)</f>
        <v>0.4</v>
      </c>
      <c r="Z14" t="s">
        <v>125</v>
      </c>
      <c r="AA14" t="s">
        <v>140</v>
      </c>
    </row>
    <row r="15" spans="1:27" x14ac:dyDescent="0.25">
      <c r="A15" t="s">
        <v>206</v>
      </c>
      <c r="B15">
        <v>38</v>
      </c>
      <c r="C15" t="s">
        <v>90</v>
      </c>
      <c r="D15" t="s">
        <v>76</v>
      </c>
      <c r="E15" t="s">
        <v>76</v>
      </c>
      <c r="F15" t="b">
        <v>1</v>
      </c>
      <c r="G15">
        <v>50</v>
      </c>
      <c r="H15">
        <v>125</v>
      </c>
      <c r="I15">
        <v>80</v>
      </c>
      <c r="J15">
        <v>45</v>
      </c>
      <c r="K15">
        <v>65</v>
      </c>
      <c r="L15">
        <v>95</v>
      </c>
      <c r="M15">
        <v>50</v>
      </c>
      <c r="N15">
        <v>30</v>
      </c>
      <c r="O15">
        <v>50</v>
      </c>
      <c r="P15">
        <v>30</v>
      </c>
      <c r="Q15">
        <v>6</v>
      </c>
      <c r="R15">
        <v>200</v>
      </c>
      <c r="S15">
        <v>0</v>
      </c>
      <c r="T15">
        <v>1</v>
      </c>
      <c r="U15">
        <v>1</v>
      </c>
      <c r="V15">
        <v>3</v>
      </c>
      <c r="W15" t="s">
        <v>152</v>
      </c>
      <c r="X15" cm="1">
        <f t="array" aca="1" ref="X15" ca="1">INDEX(Caliber!B13:'Caliber'!C23,MATCH(INDIRECT(ADDRESS(ROW(),COLUMN()-1)),Caliber!B13:'Caliber'!B23,0),2)</f>
        <v>45</v>
      </c>
      <c r="Y15" cm="1">
        <f t="array" aca="1" ref="Y15" ca="1">INDEX(Caliber!C13:'Caliber'!D23,MATCH(INDIRECT(ADDRESS(ROW(),COLUMN()-2)),Caliber!B13:'Caliber'!B23,0),2)</f>
        <v>0.6</v>
      </c>
      <c r="Z15" t="s">
        <v>98</v>
      </c>
    </row>
    <row r="16" spans="1:27" x14ac:dyDescent="0.25">
      <c r="A16" t="s">
        <v>147</v>
      </c>
      <c r="B16">
        <v>19</v>
      </c>
      <c r="C16" t="s">
        <v>90</v>
      </c>
      <c r="D16">
        <v>17500</v>
      </c>
      <c r="E16" t="s">
        <v>76</v>
      </c>
      <c r="F16" t="b">
        <v>1</v>
      </c>
      <c r="G16">
        <v>50</v>
      </c>
      <c r="H16">
        <v>125</v>
      </c>
      <c r="I16">
        <v>50</v>
      </c>
      <c r="J16">
        <v>35</v>
      </c>
      <c r="K16">
        <v>55</v>
      </c>
      <c r="L16">
        <v>55</v>
      </c>
      <c r="M16">
        <v>60</v>
      </c>
      <c r="N16">
        <v>40</v>
      </c>
      <c r="O16">
        <v>22</v>
      </c>
      <c r="P16">
        <v>32</v>
      </c>
      <c r="Q16">
        <v>10</v>
      </c>
      <c r="R16">
        <v>200</v>
      </c>
      <c r="S16">
        <v>0</v>
      </c>
      <c r="T16">
        <v>3</v>
      </c>
      <c r="U16">
        <v>1</v>
      </c>
      <c r="V16">
        <v>5</v>
      </c>
      <c r="W16" t="s">
        <v>120</v>
      </c>
      <c r="X16">
        <f>INDEX(Caliber!B13:'Caliber'!C23,MATCH(W16,Caliber!B13:'Caliber'!B23,0),2)</f>
        <v>37</v>
      </c>
      <c r="Y16">
        <f>INDEX(Caliber!C13:'Caliber'!D23,MATCH(W16,Caliber!B13:'Caliber'!B23,0),2)</f>
        <v>0.4</v>
      </c>
      <c r="Z16" t="s">
        <v>117</v>
      </c>
    </row>
    <row r="17" spans="1:26" x14ac:dyDescent="0.25">
      <c r="A17" t="s">
        <v>189</v>
      </c>
      <c r="B17">
        <v>21</v>
      </c>
      <c r="C17" t="s">
        <v>90</v>
      </c>
      <c r="D17" t="s">
        <v>76</v>
      </c>
      <c r="E17" t="s">
        <v>76</v>
      </c>
      <c r="F17" t="b">
        <v>1</v>
      </c>
      <c r="G17">
        <v>50</v>
      </c>
      <c r="H17">
        <v>125</v>
      </c>
      <c r="I17">
        <v>65</v>
      </c>
      <c r="J17">
        <v>35</v>
      </c>
      <c r="K17">
        <v>55</v>
      </c>
      <c r="L17">
        <v>75</v>
      </c>
      <c r="M17">
        <v>55</v>
      </c>
      <c r="N17">
        <v>30</v>
      </c>
      <c r="O17">
        <v>27</v>
      </c>
      <c r="P17">
        <v>37</v>
      </c>
      <c r="Q17">
        <v>10</v>
      </c>
      <c r="R17">
        <v>200</v>
      </c>
      <c r="S17">
        <v>0</v>
      </c>
      <c r="T17">
        <v>3</v>
      </c>
      <c r="U17">
        <v>1</v>
      </c>
      <c r="V17">
        <v>5</v>
      </c>
      <c r="W17" t="s">
        <v>120</v>
      </c>
      <c r="X17">
        <f>INDEX(Caliber!B13:'Caliber'!C23,MATCH(W17,Caliber!B13:'Caliber'!B23,0),2)</f>
        <v>37</v>
      </c>
      <c r="Y17">
        <f>INDEX(Caliber!C13:'Caliber'!D23,MATCH(W17,Caliber!B13:'Caliber'!B23,0),2)</f>
        <v>0.4</v>
      </c>
      <c r="Z17" t="s">
        <v>117</v>
      </c>
    </row>
    <row r="18" spans="1:26" x14ac:dyDescent="0.25">
      <c r="A18" t="s">
        <v>197</v>
      </c>
      <c r="B18">
        <v>30</v>
      </c>
      <c r="C18" t="s">
        <v>90</v>
      </c>
      <c r="D18">
        <v>85000</v>
      </c>
      <c r="E18" t="s">
        <v>76</v>
      </c>
      <c r="F18" t="b">
        <v>1</v>
      </c>
      <c r="G18">
        <v>50</v>
      </c>
      <c r="H18">
        <v>125</v>
      </c>
      <c r="I18">
        <v>60</v>
      </c>
      <c r="J18">
        <v>40</v>
      </c>
      <c r="K18">
        <v>45</v>
      </c>
      <c r="L18">
        <v>100</v>
      </c>
      <c r="M18">
        <v>80</v>
      </c>
      <c r="N18">
        <v>55</v>
      </c>
      <c r="O18">
        <v>45</v>
      </c>
      <c r="P18">
        <v>35</v>
      </c>
      <c r="Q18">
        <v>15</v>
      </c>
      <c r="R18">
        <v>200</v>
      </c>
      <c r="S18">
        <v>0</v>
      </c>
      <c r="T18">
        <v>3</v>
      </c>
      <c r="U18">
        <v>3</v>
      </c>
      <c r="V18">
        <v>5</v>
      </c>
      <c r="W18" t="s">
        <v>18</v>
      </c>
      <c r="X18">
        <f>INDEX(Caliber!B13:'Caliber'!C23,MATCH(W18,Caliber!B13:'Caliber'!B23,0),2)</f>
        <v>35</v>
      </c>
      <c r="Y18">
        <f>INDEX(Caliber!C13:'Caliber'!D23,MATCH(W18,Caliber!B13:'Caliber'!B23,0),2)</f>
        <v>0.3</v>
      </c>
      <c r="Z18" t="s">
        <v>109</v>
      </c>
    </row>
    <row r="19" spans="1:26" x14ac:dyDescent="0.25">
      <c r="A19" t="s">
        <v>207</v>
      </c>
      <c r="B19">
        <v>33</v>
      </c>
      <c r="C19" t="s">
        <v>90</v>
      </c>
      <c r="D19">
        <v>36000</v>
      </c>
      <c r="E19" t="s">
        <v>76</v>
      </c>
      <c r="F19" t="b">
        <v>1</v>
      </c>
      <c r="G19">
        <v>50</v>
      </c>
      <c r="H19">
        <v>125</v>
      </c>
      <c r="I19">
        <v>55</v>
      </c>
      <c r="J19">
        <v>45</v>
      </c>
      <c r="K19">
        <v>40</v>
      </c>
      <c r="L19">
        <v>75</v>
      </c>
      <c r="M19">
        <v>55</v>
      </c>
      <c r="N19">
        <v>35</v>
      </c>
      <c r="O19">
        <v>33</v>
      </c>
      <c r="P19">
        <v>36</v>
      </c>
      <c r="Q19">
        <v>11</v>
      </c>
      <c r="R19">
        <v>200</v>
      </c>
      <c r="S19">
        <v>0</v>
      </c>
      <c r="T19">
        <v>3</v>
      </c>
      <c r="U19">
        <v>1</v>
      </c>
      <c r="V19">
        <v>5</v>
      </c>
      <c r="W19" t="s">
        <v>152</v>
      </c>
      <c r="X19" cm="1">
        <f t="array" aca="1" ref="X19" ca="1">INDEX(Caliber!B13:'Caliber'!C23,MATCH(INDIRECT(ADDRESS(ROW(),COLUMN()-1)),Caliber!B13:'Caliber'!B23,0),2)</f>
        <v>45</v>
      </c>
      <c r="Y19" cm="1">
        <f t="array" aca="1" ref="Y19" ca="1">INDEX(Caliber!C13:'Caliber'!D23,MATCH(INDIRECT(ADDRESS(ROW(),COLUMN()-2)),Caliber!B13:'Caliber'!B23,0),2)</f>
        <v>0.6</v>
      </c>
      <c r="Z19" t="s">
        <v>208</v>
      </c>
    </row>
    <row r="20" spans="1:26" x14ac:dyDescent="0.25">
      <c r="A20" t="s">
        <v>142</v>
      </c>
      <c r="B20">
        <v>27</v>
      </c>
      <c r="C20" t="s">
        <v>90</v>
      </c>
      <c r="D20">
        <v>31000</v>
      </c>
      <c r="E20" t="s">
        <v>76</v>
      </c>
      <c r="F20" t="b">
        <v>1</v>
      </c>
      <c r="G20">
        <v>50</v>
      </c>
      <c r="H20">
        <v>125</v>
      </c>
      <c r="I20">
        <v>70</v>
      </c>
      <c r="J20">
        <v>50</v>
      </c>
      <c r="K20">
        <v>55</v>
      </c>
      <c r="L20">
        <v>80</v>
      </c>
      <c r="M20">
        <v>60</v>
      </c>
      <c r="N20">
        <v>45</v>
      </c>
      <c r="O20">
        <v>33</v>
      </c>
      <c r="P20">
        <v>35</v>
      </c>
      <c r="Q20">
        <v>10</v>
      </c>
      <c r="R20">
        <v>200</v>
      </c>
      <c r="S20">
        <v>0</v>
      </c>
      <c r="T20">
        <v>3</v>
      </c>
      <c r="U20">
        <v>1</v>
      </c>
      <c r="V20">
        <v>5</v>
      </c>
      <c r="W20" t="s">
        <v>120</v>
      </c>
      <c r="X20">
        <f>INDEX(Caliber!B13:'Caliber'!C23,MATCH(W20,Caliber!B13:'Caliber'!B23,0),2)</f>
        <v>37</v>
      </c>
      <c r="Y20">
        <f>INDEX(Caliber!C13:'Caliber'!D23,MATCH(W20,Caliber!B13:'Caliber'!B23,0),2)</f>
        <v>0.4</v>
      </c>
      <c r="Z20" t="s">
        <v>125</v>
      </c>
    </row>
    <row r="21" spans="1:26" x14ac:dyDescent="0.25">
      <c r="A21" t="s">
        <v>143</v>
      </c>
      <c r="B21">
        <v>37</v>
      </c>
      <c r="C21" t="s">
        <v>90</v>
      </c>
      <c r="D21" t="s">
        <v>76</v>
      </c>
      <c r="E21" t="s">
        <v>123</v>
      </c>
      <c r="F21" t="b">
        <v>1</v>
      </c>
      <c r="G21">
        <v>50</v>
      </c>
      <c r="H21">
        <v>125</v>
      </c>
      <c r="I21">
        <v>70</v>
      </c>
      <c r="J21">
        <v>50</v>
      </c>
      <c r="K21">
        <v>70</v>
      </c>
      <c r="L21">
        <v>80</v>
      </c>
      <c r="M21">
        <v>60</v>
      </c>
      <c r="N21">
        <v>45</v>
      </c>
      <c r="O21">
        <v>33</v>
      </c>
      <c r="P21">
        <v>35</v>
      </c>
      <c r="Q21">
        <v>16</v>
      </c>
      <c r="R21">
        <v>200</v>
      </c>
      <c r="S21">
        <v>0</v>
      </c>
      <c r="T21">
        <v>3</v>
      </c>
      <c r="U21">
        <v>1</v>
      </c>
      <c r="V21">
        <v>1</v>
      </c>
      <c r="W21" t="s">
        <v>120</v>
      </c>
      <c r="X21">
        <f>INDEX(Caliber!B13:'Caliber'!C23,MATCH(W21,Caliber!B13:'Caliber'!B23,0),2)</f>
        <v>37</v>
      </c>
      <c r="Y21">
        <f>INDEX(Caliber!C13:'Caliber'!D23,MATCH(W21,Caliber!B13:'Caliber'!B23,0),2)</f>
        <v>0.4</v>
      </c>
      <c r="Z21" t="s">
        <v>125</v>
      </c>
    </row>
    <row r="22" spans="1:26" x14ac:dyDescent="0.25">
      <c r="A22" t="s">
        <v>427</v>
      </c>
      <c r="B22">
        <v>23</v>
      </c>
      <c r="C22" t="s">
        <v>90</v>
      </c>
      <c r="D22">
        <v>31000</v>
      </c>
      <c r="E22" t="s">
        <v>76</v>
      </c>
      <c r="F22" t="b">
        <v>1</v>
      </c>
      <c r="G22">
        <v>50</v>
      </c>
      <c r="H22">
        <v>125</v>
      </c>
      <c r="I22">
        <v>66</v>
      </c>
      <c r="J22">
        <v>46</v>
      </c>
      <c r="K22">
        <v>51</v>
      </c>
      <c r="L22">
        <v>78</v>
      </c>
      <c r="M22">
        <v>58</v>
      </c>
      <c r="N22">
        <v>45</v>
      </c>
      <c r="O22">
        <v>30</v>
      </c>
      <c r="P22">
        <v>32</v>
      </c>
      <c r="Q22">
        <v>10</v>
      </c>
      <c r="R22">
        <v>200</v>
      </c>
      <c r="S22">
        <v>0</v>
      </c>
      <c r="T22">
        <v>3</v>
      </c>
      <c r="U22">
        <v>1</v>
      </c>
      <c r="V22">
        <v>5</v>
      </c>
      <c r="W22" t="s">
        <v>120</v>
      </c>
      <c r="X22" cm="1">
        <f t="array" aca="1" ref="X22" ca="1">INDEX(Caliber!B13:'Caliber'!C23,MATCH(INDIRECT(ADDRESS(ROW(),COLUMN()-1)),Caliber!B13:'Caliber'!B23,0),2)</f>
        <v>37</v>
      </c>
      <c r="Y22" cm="1">
        <f t="array" aca="1" ref="Y22" ca="1">INDEX(Caliber!C13:'Caliber'!D23,MATCH(INDIRECT(ADDRESS(ROW(),COLUMN()-2)),Caliber!B13:'Caliber'!B23,0),2)</f>
        <v>0.4</v>
      </c>
      <c r="Z22" t="s">
        <v>117</v>
      </c>
    </row>
    <row r="23" spans="1:26" x14ac:dyDescent="0.25">
      <c r="A23" t="s">
        <v>144</v>
      </c>
      <c r="B23">
        <v>25</v>
      </c>
      <c r="C23" t="s">
        <v>90</v>
      </c>
      <c r="D23">
        <v>35000</v>
      </c>
      <c r="E23" t="s">
        <v>76</v>
      </c>
      <c r="F23" t="b">
        <v>1</v>
      </c>
      <c r="G23">
        <v>50</v>
      </c>
      <c r="H23">
        <v>125</v>
      </c>
      <c r="I23">
        <v>55</v>
      </c>
      <c r="J23">
        <v>35</v>
      </c>
      <c r="K23">
        <v>65</v>
      </c>
      <c r="L23">
        <v>70</v>
      </c>
      <c r="M23">
        <v>65</v>
      </c>
      <c r="N23">
        <v>50</v>
      </c>
      <c r="O23">
        <v>30</v>
      </c>
      <c r="P23">
        <v>35</v>
      </c>
      <c r="Q23">
        <v>13</v>
      </c>
      <c r="R23">
        <v>200</v>
      </c>
      <c r="S23">
        <v>0</v>
      </c>
      <c r="T23">
        <v>3</v>
      </c>
      <c r="U23">
        <v>1</v>
      </c>
      <c r="V23">
        <v>5</v>
      </c>
      <c r="W23" t="s">
        <v>120</v>
      </c>
      <c r="X23">
        <f>INDEX(Caliber!B13:'Caliber'!C23,MATCH(W23,Caliber!B13:'Caliber'!B23,0),2)</f>
        <v>37</v>
      </c>
      <c r="Y23">
        <f>INDEX(Caliber!C13:'Caliber'!D23,MATCH(W23,Caliber!B13:'Caliber'!B23,0),2)</f>
        <v>0.4</v>
      </c>
      <c r="Z23" t="s">
        <v>117</v>
      </c>
    </row>
    <row r="24" spans="1:26" x14ac:dyDescent="0.25">
      <c r="A24" t="s">
        <v>146</v>
      </c>
      <c r="B24">
        <v>37</v>
      </c>
      <c r="C24" t="s">
        <v>90</v>
      </c>
      <c r="D24" t="s">
        <v>76</v>
      </c>
      <c r="E24" t="s">
        <v>123</v>
      </c>
      <c r="F24" t="b">
        <v>1</v>
      </c>
      <c r="G24">
        <v>50</v>
      </c>
      <c r="H24">
        <v>125</v>
      </c>
      <c r="I24">
        <v>55</v>
      </c>
      <c r="J24">
        <v>32</v>
      </c>
      <c r="K24">
        <v>65</v>
      </c>
      <c r="L24">
        <v>70</v>
      </c>
      <c r="M24">
        <v>65</v>
      </c>
      <c r="N24">
        <v>50</v>
      </c>
      <c r="O24">
        <v>30</v>
      </c>
      <c r="P24">
        <v>35</v>
      </c>
      <c r="Q24">
        <v>18</v>
      </c>
      <c r="R24">
        <v>200</v>
      </c>
      <c r="S24">
        <v>0</v>
      </c>
      <c r="T24">
        <v>3</v>
      </c>
      <c r="U24">
        <v>1</v>
      </c>
      <c r="V24">
        <v>1</v>
      </c>
      <c r="W24" t="s">
        <v>120</v>
      </c>
      <c r="X24">
        <f>INDEX(Caliber!B13:'Caliber'!C23,MATCH(W24,Caliber!B13:'Caliber'!B23,0),2)</f>
        <v>37</v>
      </c>
      <c r="Y24">
        <f>INDEX(Caliber!C13:'Caliber'!D23,MATCH(W24,Caliber!B13:'Caliber'!B23,0),2)</f>
        <v>0.4</v>
      </c>
      <c r="Z24" t="s">
        <v>125</v>
      </c>
    </row>
    <row r="25" spans="1:26" x14ac:dyDescent="0.25">
      <c r="A25" t="s">
        <v>174</v>
      </c>
      <c r="B25">
        <v>34</v>
      </c>
      <c r="C25" t="s">
        <v>90</v>
      </c>
      <c r="D25" t="s">
        <v>76</v>
      </c>
      <c r="E25" t="s">
        <v>123</v>
      </c>
      <c r="F25" t="b">
        <v>1</v>
      </c>
      <c r="G25">
        <v>50</v>
      </c>
      <c r="H25">
        <v>125</v>
      </c>
      <c r="I25">
        <v>55</v>
      </c>
      <c r="J25">
        <v>32</v>
      </c>
      <c r="K25">
        <v>30</v>
      </c>
      <c r="L25">
        <v>70</v>
      </c>
      <c r="M25">
        <v>65</v>
      </c>
      <c r="N25">
        <v>50</v>
      </c>
      <c r="O25">
        <v>30</v>
      </c>
      <c r="P25">
        <v>35</v>
      </c>
      <c r="Q25">
        <v>7</v>
      </c>
      <c r="R25">
        <v>200</v>
      </c>
      <c r="S25">
        <v>0</v>
      </c>
      <c r="T25">
        <v>3</v>
      </c>
      <c r="U25">
        <v>1</v>
      </c>
      <c r="V25">
        <v>1</v>
      </c>
      <c r="W25" t="s">
        <v>120</v>
      </c>
      <c r="X25">
        <f>INDEX(Caliber!B13:'Caliber'!C23,MATCH(W25,Caliber!B13:'Caliber'!B23,0),2)</f>
        <v>37</v>
      </c>
      <c r="Y25">
        <f>INDEX(Caliber!C13:'Caliber'!D23,MATCH(W25,Caliber!B13:'Caliber'!B23,0),2)</f>
        <v>0.4</v>
      </c>
      <c r="Z25" t="s">
        <v>129</v>
      </c>
    </row>
    <row r="26" spans="1:26" x14ac:dyDescent="0.25">
      <c r="A26" t="s">
        <v>145</v>
      </c>
      <c r="B26">
        <v>27</v>
      </c>
      <c r="C26" t="s">
        <v>90</v>
      </c>
      <c r="D26" t="s">
        <v>76</v>
      </c>
      <c r="E26" t="s">
        <v>76</v>
      </c>
      <c r="F26" t="b">
        <v>1</v>
      </c>
      <c r="G26">
        <v>50</v>
      </c>
      <c r="H26">
        <v>125</v>
      </c>
      <c r="I26">
        <v>75</v>
      </c>
      <c r="J26">
        <v>32</v>
      </c>
      <c r="K26">
        <v>62</v>
      </c>
      <c r="L26">
        <v>90</v>
      </c>
      <c r="M26">
        <v>64</v>
      </c>
      <c r="N26">
        <v>50</v>
      </c>
      <c r="O26">
        <v>35</v>
      </c>
      <c r="P26">
        <v>40</v>
      </c>
      <c r="Q26">
        <v>13</v>
      </c>
      <c r="R26">
        <v>200</v>
      </c>
      <c r="S26">
        <v>0</v>
      </c>
      <c r="T26">
        <v>3</v>
      </c>
      <c r="U26">
        <v>1</v>
      </c>
      <c r="V26">
        <v>5</v>
      </c>
      <c r="W26" t="s">
        <v>120</v>
      </c>
      <c r="X26">
        <f>INDEX(Caliber!B13:'Caliber'!C23,MATCH(W26,Caliber!B13:'Caliber'!B23,0),2)</f>
        <v>37</v>
      </c>
      <c r="Y26">
        <f>INDEX(Caliber!C13:'Caliber'!D23,MATCH(W26,Caliber!B13:'Caliber'!B23,0),2)</f>
        <v>0.4</v>
      </c>
      <c r="Z26" t="s">
        <v>117</v>
      </c>
    </row>
    <row r="27" spans="1:26" x14ac:dyDescent="0.25">
      <c r="A27" t="s">
        <v>209</v>
      </c>
      <c r="B27">
        <v>31</v>
      </c>
      <c r="C27" t="s">
        <v>90</v>
      </c>
      <c r="D27">
        <v>39000</v>
      </c>
      <c r="E27" t="s">
        <v>76</v>
      </c>
      <c r="F27" t="b">
        <v>1</v>
      </c>
      <c r="G27">
        <v>50</v>
      </c>
      <c r="H27">
        <v>125</v>
      </c>
      <c r="I27">
        <v>65</v>
      </c>
      <c r="J27">
        <v>50</v>
      </c>
      <c r="K27">
        <v>65</v>
      </c>
      <c r="L27">
        <v>80</v>
      </c>
      <c r="M27">
        <v>65</v>
      </c>
      <c r="N27">
        <v>40</v>
      </c>
      <c r="O27">
        <v>37</v>
      </c>
      <c r="P27">
        <v>40</v>
      </c>
      <c r="Q27">
        <v>12</v>
      </c>
      <c r="R27">
        <v>200</v>
      </c>
      <c r="S27">
        <v>0</v>
      </c>
      <c r="T27">
        <v>3</v>
      </c>
      <c r="U27">
        <v>1</v>
      </c>
      <c r="V27">
        <v>5</v>
      </c>
      <c r="W27" t="s">
        <v>152</v>
      </c>
      <c r="X27" cm="1">
        <f t="array" aca="1" ref="X27" ca="1">INDEX(Caliber!B13:'Caliber'!C23,MATCH(INDIRECT(ADDRESS(ROW(),COLUMN()-1)),Caliber!B13:'Caliber'!B23,0),2)</f>
        <v>45</v>
      </c>
      <c r="Y27" cm="1">
        <f t="array" aca="1" ref="Y27" ca="1">INDEX(Caliber!C13:'Caliber'!D23,MATCH(INDIRECT(ADDRESS(ROW(),COLUMN()-2)),Caliber!B13:'Caliber'!B23,0),2)</f>
        <v>0.6</v>
      </c>
      <c r="Z27" t="s">
        <v>79</v>
      </c>
    </row>
    <row r="28" spans="1:26" x14ac:dyDescent="0.25">
      <c r="A28" t="s">
        <v>210</v>
      </c>
      <c r="B28">
        <v>33</v>
      </c>
      <c r="C28" t="s">
        <v>90</v>
      </c>
      <c r="D28" t="s">
        <v>76</v>
      </c>
      <c r="E28" t="s">
        <v>76</v>
      </c>
      <c r="F28" t="b">
        <v>1</v>
      </c>
      <c r="G28">
        <v>50</v>
      </c>
      <c r="H28">
        <v>125</v>
      </c>
      <c r="I28">
        <v>80</v>
      </c>
      <c r="J28">
        <v>50</v>
      </c>
      <c r="K28">
        <v>65</v>
      </c>
      <c r="L28">
        <v>100</v>
      </c>
      <c r="M28">
        <v>60</v>
      </c>
      <c r="N28">
        <v>30</v>
      </c>
      <c r="O28">
        <v>42</v>
      </c>
      <c r="P28">
        <v>45</v>
      </c>
      <c r="Q28">
        <v>12</v>
      </c>
      <c r="R28">
        <v>200</v>
      </c>
      <c r="S28">
        <v>0</v>
      </c>
      <c r="T28">
        <v>3</v>
      </c>
      <c r="U28">
        <v>1</v>
      </c>
      <c r="V28">
        <v>5</v>
      </c>
      <c r="W28" t="s">
        <v>152</v>
      </c>
      <c r="X28" cm="1">
        <f t="array" aca="1" ref="X28" ca="1">INDEX(Caliber!B13:'Caliber'!C23,MATCH(INDIRECT(ADDRESS(ROW(),COLUMN()-1)),Caliber!B13:'Caliber'!B23,0),2)</f>
        <v>45</v>
      </c>
      <c r="Y28" cm="1">
        <f t="array" aca="1" ref="Y28" ca="1">INDEX(Caliber!C13:'Caliber'!D23,MATCH(INDIRECT(ADDRESS(ROW(),COLUMN()-2)),Caliber!B13:'Caliber'!B23,0),2)</f>
        <v>0.6</v>
      </c>
      <c r="Z28" t="s">
        <v>79</v>
      </c>
    </row>
    <row r="29" spans="1:26" x14ac:dyDescent="0.25">
      <c r="A29" t="s">
        <v>434</v>
      </c>
      <c r="B29">
        <v>30</v>
      </c>
      <c r="C29" t="s">
        <v>90</v>
      </c>
      <c r="D29">
        <v>17500</v>
      </c>
      <c r="E29" t="s">
        <v>76</v>
      </c>
      <c r="F29" t="b">
        <v>1</v>
      </c>
      <c r="G29">
        <v>50</v>
      </c>
      <c r="H29">
        <v>125</v>
      </c>
      <c r="I29">
        <v>55</v>
      </c>
      <c r="J29">
        <v>45</v>
      </c>
      <c r="K29">
        <v>40</v>
      </c>
      <c r="L29">
        <v>70</v>
      </c>
      <c r="M29">
        <v>50</v>
      </c>
      <c r="N29">
        <v>20</v>
      </c>
      <c r="O29">
        <v>36</v>
      </c>
      <c r="P29">
        <v>20</v>
      </c>
      <c r="Q29">
        <v>11</v>
      </c>
      <c r="R29">
        <v>200</v>
      </c>
      <c r="S29">
        <v>0</v>
      </c>
      <c r="T29">
        <v>1</v>
      </c>
      <c r="U29">
        <v>1</v>
      </c>
      <c r="V29">
        <v>3</v>
      </c>
      <c r="W29" t="s">
        <v>26</v>
      </c>
      <c r="X29" cm="1">
        <f t="array" aca="1" ref="X29" ca="1">INDEX(Caliber!B13:'Caliber'!C23,MATCH(INDIRECT(ADDRESS(ROW(),COLUMN()-1)),Caliber!B13:'Caliber'!B23,0),2)</f>
        <v>45</v>
      </c>
      <c r="Y29" cm="1">
        <f t="array" aca="1" ref="Y29" ca="1">INDEX(Caliber!C13:'Caliber'!D23,MATCH(INDIRECT(ADDRESS(ROW(),COLUMN()-2)),Caliber!B13:'Caliber'!B23,0),2)</f>
        <v>0.6</v>
      </c>
      <c r="Z29" t="s">
        <v>79</v>
      </c>
    </row>
    <row r="30" spans="1:26" x14ac:dyDescent="0.25">
      <c r="A30" t="s">
        <v>435</v>
      </c>
      <c r="B30">
        <v>32</v>
      </c>
      <c r="C30" t="s">
        <v>90</v>
      </c>
      <c r="D30" t="s">
        <v>76</v>
      </c>
      <c r="E30" t="s">
        <v>76</v>
      </c>
      <c r="F30" t="b">
        <v>1</v>
      </c>
      <c r="G30">
        <v>50</v>
      </c>
      <c r="H30">
        <v>125</v>
      </c>
      <c r="I30">
        <v>70</v>
      </c>
      <c r="J30">
        <v>45</v>
      </c>
      <c r="K30">
        <v>40</v>
      </c>
      <c r="L30">
        <v>90</v>
      </c>
      <c r="M30">
        <v>65</v>
      </c>
      <c r="N30">
        <v>15</v>
      </c>
      <c r="O30">
        <v>50</v>
      </c>
      <c r="P30">
        <v>40</v>
      </c>
      <c r="Q30">
        <v>11</v>
      </c>
      <c r="R30">
        <v>200</v>
      </c>
      <c r="S30">
        <v>0</v>
      </c>
      <c r="T30">
        <v>1</v>
      </c>
      <c r="U30">
        <v>1</v>
      </c>
      <c r="V30">
        <v>3</v>
      </c>
      <c r="W30" t="s">
        <v>152</v>
      </c>
      <c r="X30" cm="1">
        <f t="array" aca="1" ref="X30" ca="1">INDEX(Caliber!B13:'Caliber'!C23,MATCH(INDIRECT(ADDRESS(ROW(),COLUMN()-1)),Caliber!B13:'Caliber'!B23,0),2)</f>
        <v>45</v>
      </c>
      <c r="Y30" cm="1">
        <f t="array" aca="1" ref="Y30" ca="1">INDEX(Caliber!C13:'Caliber'!D23,MATCH(INDIRECT(ADDRESS(ROW(),COLUMN()-2)),Caliber!B13:'Caliber'!B23,0),2)</f>
        <v>0.6</v>
      </c>
      <c r="Z30" t="s">
        <v>79</v>
      </c>
    </row>
    <row r="31" spans="1:26" x14ac:dyDescent="0.25">
      <c r="A31" t="s">
        <v>200</v>
      </c>
      <c r="B31">
        <v>22</v>
      </c>
      <c r="C31" t="s">
        <v>90</v>
      </c>
      <c r="D31">
        <v>12000</v>
      </c>
      <c r="E31" t="s">
        <v>76</v>
      </c>
      <c r="F31" t="b">
        <v>1</v>
      </c>
      <c r="G31">
        <v>50</v>
      </c>
      <c r="H31">
        <v>125</v>
      </c>
      <c r="I31">
        <v>70</v>
      </c>
      <c r="J31">
        <v>40</v>
      </c>
      <c r="K31">
        <v>55</v>
      </c>
      <c r="L31">
        <v>70</v>
      </c>
      <c r="M31">
        <v>60</v>
      </c>
      <c r="N31">
        <v>45</v>
      </c>
      <c r="O31">
        <v>36</v>
      </c>
      <c r="P31">
        <v>32</v>
      </c>
      <c r="Q31">
        <v>26</v>
      </c>
      <c r="R31">
        <v>200</v>
      </c>
      <c r="S31">
        <v>0</v>
      </c>
      <c r="T31">
        <v>1</v>
      </c>
      <c r="U31">
        <v>1</v>
      </c>
      <c r="V31">
        <v>3</v>
      </c>
      <c r="W31" t="s">
        <v>120</v>
      </c>
      <c r="X31">
        <f>INDEX(Caliber!B13:'Caliber'!C23,MATCH(W31,Caliber!B13:'Caliber'!B23,0),2)</f>
        <v>37</v>
      </c>
      <c r="Y31">
        <f>INDEX(Caliber!C13:'Caliber'!D23,MATCH(W31,Caliber!B13:'Caliber'!B23,0),2)</f>
        <v>0.4</v>
      </c>
      <c r="Z31" t="s">
        <v>117</v>
      </c>
    </row>
    <row r="32" spans="1:26" x14ac:dyDescent="0.25">
      <c r="A32" t="s">
        <v>431</v>
      </c>
      <c r="B32">
        <v>30</v>
      </c>
      <c r="C32" t="s">
        <v>90</v>
      </c>
      <c r="D32" t="s">
        <v>76</v>
      </c>
      <c r="E32" t="s">
        <v>432</v>
      </c>
      <c r="F32" t="b">
        <v>1</v>
      </c>
      <c r="G32">
        <v>50</v>
      </c>
      <c r="H32">
        <v>125</v>
      </c>
      <c r="I32">
        <v>70</v>
      </c>
      <c r="J32">
        <v>40</v>
      </c>
      <c r="K32">
        <v>55</v>
      </c>
      <c r="L32">
        <v>40</v>
      </c>
      <c r="M32">
        <v>60</v>
      </c>
      <c r="N32">
        <v>45</v>
      </c>
      <c r="O32">
        <v>16</v>
      </c>
      <c r="P32">
        <v>32</v>
      </c>
      <c r="Q32">
        <v>26</v>
      </c>
      <c r="R32">
        <v>200</v>
      </c>
      <c r="S32">
        <v>0</v>
      </c>
      <c r="T32">
        <v>1</v>
      </c>
      <c r="U32">
        <v>1</v>
      </c>
      <c r="V32">
        <v>3</v>
      </c>
      <c r="W32" t="s">
        <v>120</v>
      </c>
      <c r="X32" cm="1">
        <f t="array" aca="1" ref="X32" ca="1">INDEX(Caliber!B13:'Caliber'!C23,MATCH(INDIRECT(ADDRESS(ROW(),COLUMN()-1)),Caliber!B13:'Caliber'!B23,0),2)</f>
        <v>37</v>
      </c>
      <c r="Y32" cm="1">
        <f t="array" aca="1" ref="Y32" ca="1">INDEX(Caliber!C13:'Caliber'!D23,MATCH(INDIRECT(ADDRESS(ROW(),COLUMN()-2)),Caliber!B13:'Caliber'!B23,0),2)</f>
        <v>0.4</v>
      </c>
      <c r="Z32" t="s">
        <v>117</v>
      </c>
    </row>
    <row r="33" spans="1:26" x14ac:dyDescent="0.25">
      <c r="A33" t="s">
        <v>430</v>
      </c>
      <c r="B33">
        <v>24</v>
      </c>
      <c r="C33" t="s">
        <v>90</v>
      </c>
      <c r="D33" t="s">
        <v>76</v>
      </c>
      <c r="E33" t="s">
        <v>76</v>
      </c>
      <c r="F33" t="b">
        <v>1</v>
      </c>
      <c r="G33">
        <v>50</v>
      </c>
      <c r="H33">
        <v>125</v>
      </c>
      <c r="I33">
        <v>60</v>
      </c>
      <c r="J33">
        <v>40</v>
      </c>
      <c r="K33">
        <v>60</v>
      </c>
      <c r="L33">
        <v>90</v>
      </c>
      <c r="M33">
        <v>50</v>
      </c>
      <c r="N33">
        <v>60</v>
      </c>
      <c r="O33">
        <v>60</v>
      </c>
      <c r="P33">
        <v>40</v>
      </c>
      <c r="Q33">
        <v>50</v>
      </c>
      <c r="R33">
        <v>200</v>
      </c>
      <c r="S33">
        <v>0</v>
      </c>
      <c r="T33">
        <v>1</v>
      </c>
      <c r="U33">
        <v>1</v>
      </c>
      <c r="V33">
        <v>3</v>
      </c>
      <c r="W33" t="s">
        <v>120</v>
      </c>
      <c r="X33" cm="1">
        <f t="array" aca="1" ref="X33" ca="1">INDEX(Caliber!B13:'Caliber'!C23,MATCH(INDIRECT(ADDRESS(ROW(),COLUMN()-1)),Caliber!B13:'Caliber'!B23,0),2)</f>
        <v>37</v>
      </c>
      <c r="Y33" cm="1">
        <f t="array" aca="1" ref="Y33" ca="1">INDEX(Caliber!C13:'Caliber'!D23,MATCH(INDIRECT(ADDRESS(ROW(),COLUMN()-2)),Caliber!B13:'Caliber'!B23,0),2)</f>
        <v>0.4</v>
      </c>
      <c r="Z33" t="s">
        <v>117</v>
      </c>
    </row>
    <row r="34" spans="1:26" x14ac:dyDescent="0.25">
      <c r="A34" t="s">
        <v>130</v>
      </c>
      <c r="B34">
        <v>24</v>
      </c>
      <c r="C34" t="s">
        <v>90</v>
      </c>
      <c r="D34">
        <v>32000</v>
      </c>
      <c r="E34" t="s">
        <v>76</v>
      </c>
      <c r="F34" t="b">
        <v>1</v>
      </c>
      <c r="G34">
        <v>50</v>
      </c>
      <c r="H34">
        <v>125</v>
      </c>
      <c r="I34">
        <v>60</v>
      </c>
      <c r="J34">
        <v>40</v>
      </c>
      <c r="K34">
        <v>65</v>
      </c>
      <c r="L34">
        <v>70</v>
      </c>
      <c r="M34">
        <v>65</v>
      </c>
      <c r="N34">
        <v>40</v>
      </c>
      <c r="O34">
        <v>24</v>
      </c>
      <c r="P34">
        <v>31</v>
      </c>
      <c r="Q34">
        <v>5</v>
      </c>
      <c r="R34">
        <v>200</v>
      </c>
      <c r="S34">
        <v>0</v>
      </c>
      <c r="T34">
        <v>3</v>
      </c>
      <c r="U34">
        <v>1</v>
      </c>
      <c r="V34">
        <v>5</v>
      </c>
      <c r="W34" t="s">
        <v>120</v>
      </c>
      <c r="X34">
        <f>INDEX(Caliber!B13:'Caliber'!C23,MATCH(W34,Caliber!B13:'Caliber'!B23,0),2)</f>
        <v>37</v>
      </c>
      <c r="Y34">
        <f>INDEX(Caliber!C13:'Caliber'!D23,MATCH(W34,Caliber!B13:'Caliber'!B23,0),2)</f>
        <v>0.4</v>
      </c>
      <c r="Z34" t="s">
        <v>117</v>
      </c>
    </row>
    <row r="35" spans="1:26" x14ac:dyDescent="0.25">
      <c r="A35" t="s">
        <v>132</v>
      </c>
      <c r="B35">
        <v>36</v>
      </c>
      <c r="C35" t="s">
        <v>90</v>
      </c>
      <c r="D35" t="s">
        <v>76</v>
      </c>
      <c r="E35" t="s">
        <v>123</v>
      </c>
      <c r="F35" t="b">
        <v>1</v>
      </c>
      <c r="G35">
        <v>50</v>
      </c>
      <c r="H35">
        <v>125</v>
      </c>
      <c r="I35">
        <v>60</v>
      </c>
      <c r="J35">
        <v>40</v>
      </c>
      <c r="K35">
        <v>65</v>
      </c>
      <c r="L35">
        <v>70</v>
      </c>
      <c r="M35">
        <v>65</v>
      </c>
      <c r="N35">
        <v>50</v>
      </c>
      <c r="O35">
        <v>24</v>
      </c>
      <c r="P35">
        <v>31</v>
      </c>
      <c r="Q35">
        <v>18</v>
      </c>
      <c r="R35">
        <v>200</v>
      </c>
      <c r="S35">
        <v>0</v>
      </c>
      <c r="T35">
        <v>3</v>
      </c>
      <c r="U35">
        <v>1</v>
      </c>
      <c r="V35">
        <v>1</v>
      </c>
      <c r="W35" t="s">
        <v>120</v>
      </c>
      <c r="X35">
        <f>INDEX(Caliber!B13:'Caliber'!C23,MATCH(W35,Caliber!B13:'Caliber'!B23,0),2)</f>
        <v>37</v>
      </c>
      <c r="Y35">
        <f>INDEX(Caliber!C13:'Caliber'!D23,MATCH(W35,Caliber!B13:'Caliber'!B23,0),2)</f>
        <v>0.4</v>
      </c>
      <c r="Z35" t="s">
        <v>125</v>
      </c>
    </row>
    <row r="36" spans="1:26" x14ac:dyDescent="0.25">
      <c r="A36" t="s">
        <v>172</v>
      </c>
      <c r="B36">
        <v>33</v>
      </c>
      <c r="C36" t="s">
        <v>90</v>
      </c>
      <c r="D36" t="s">
        <v>76</v>
      </c>
      <c r="E36" t="s">
        <v>123</v>
      </c>
      <c r="F36" t="b">
        <v>1</v>
      </c>
      <c r="G36">
        <v>50</v>
      </c>
      <c r="H36">
        <v>125</v>
      </c>
      <c r="I36">
        <v>60</v>
      </c>
      <c r="J36">
        <v>40</v>
      </c>
      <c r="K36">
        <v>30</v>
      </c>
      <c r="L36">
        <v>70</v>
      </c>
      <c r="M36">
        <v>65</v>
      </c>
      <c r="N36">
        <v>50</v>
      </c>
      <c r="O36">
        <v>24</v>
      </c>
      <c r="P36">
        <v>31</v>
      </c>
      <c r="Q36">
        <v>7</v>
      </c>
      <c r="R36">
        <v>200</v>
      </c>
      <c r="S36">
        <v>0</v>
      </c>
      <c r="T36">
        <v>3</v>
      </c>
      <c r="U36">
        <v>1</v>
      </c>
      <c r="V36">
        <v>1</v>
      </c>
      <c r="W36" t="s">
        <v>120</v>
      </c>
      <c r="X36">
        <f>INDEX(Caliber!B13:'Caliber'!C23,MATCH(W36,Caliber!B13:'Caliber'!B23,0),2)</f>
        <v>37</v>
      </c>
      <c r="Y36">
        <f>INDEX(Caliber!C13:'Caliber'!D23,MATCH(W36,Caliber!B13:'Caliber'!B23,0),2)</f>
        <v>0.4</v>
      </c>
      <c r="Z36" t="s">
        <v>129</v>
      </c>
    </row>
    <row r="37" spans="1:26" x14ac:dyDescent="0.25">
      <c r="A37" t="s">
        <v>131</v>
      </c>
      <c r="B37">
        <v>26</v>
      </c>
      <c r="C37" t="s">
        <v>90</v>
      </c>
      <c r="D37" t="s">
        <v>76</v>
      </c>
      <c r="E37" t="s">
        <v>76</v>
      </c>
      <c r="F37" t="b">
        <v>1</v>
      </c>
      <c r="G37">
        <v>50</v>
      </c>
      <c r="H37">
        <v>125</v>
      </c>
      <c r="I37">
        <v>80</v>
      </c>
      <c r="J37">
        <v>37</v>
      </c>
      <c r="K37">
        <v>62</v>
      </c>
      <c r="L37">
        <v>90</v>
      </c>
      <c r="M37">
        <v>65</v>
      </c>
      <c r="N37">
        <v>40</v>
      </c>
      <c r="O37">
        <v>29</v>
      </c>
      <c r="P37">
        <v>41</v>
      </c>
      <c r="Q37">
        <v>10</v>
      </c>
      <c r="R37">
        <v>200</v>
      </c>
      <c r="S37">
        <v>0</v>
      </c>
      <c r="T37">
        <v>3</v>
      </c>
      <c r="U37">
        <v>1</v>
      </c>
      <c r="V37">
        <v>5</v>
      </c>
      <c r="W37" t="s">
        <v>120</v>
      </c>
      <c r="X37">
        <f>INDEX(Caliber!B13:'Caliber'!C23,MATCH(W37,Caliber!B13:'Caliber'!B23,0),2)</f>
        <v>37</v>
      </c>
      <c r="Y37">
        <f>INDEX(Caliber!C13:'Caliber'!D23,MATCH(W37,Caliber!B13:'Caliber'!B23,0),2)</f>
        <v>0.4</v>
      </c>
      <c r="Z37" t="s">
        <v>117</v>
      </c>
    </row>
    <row r="38" spans="1:26" x14ac:dyDescent="0.25">
      <c r="A38" t="s">
        <v>169</v>
      </c>
      <c r="B38">
        <v>24</v>
      </c>
      <c r="C38" t="s">
        <v>90</v>
      </c>
      <c r="D38">
        <v>32000</v>
      </c>
      <c r="E38" t="s">
        <v>76</v>
      </c>
      <c r="F38" t="b">
        <v>1</v>
      </c>
      <c r="G38">
        <v>50</v>
      </c>
      <c r="H38">
        <v>125</v>
      </c>
      <c r="I38">
        <v>60</v>
      </c>
      <c r="J38">
        <v>40</v>
      </c>
      <c r="K38">
        <v>55</v>
      </c>
      <c r="L38">
        <v>75</v>
      </c>
      <c r="M38">
        <v>65</v>
      </c>
      <c r="N38">
        <v>50</v>
      </c>
      <c r="O38">
        <v>24</v>
      </c>
      <c r="P38">
        <v>31</v>
      </c>
      <c r="Q38">
        <v>7</v>
      </c>
      <c r="R38">
        <v>200</v>
      </c>
      <c r="S38">
        <v>0</v>
      </c>
      <c r="T38">
        <v>3</v>
      </c>
      <c r="U38">
        <v>1</v>
      </c>
      <c r="V38">
        <v>5</v>
      </c>
      <c r="W38" t="s">
        <v>120</v>
      </c>
      <c r="X38">
        <f>INDEX(Caliber!B13:'Caliber'!C23,MATCH(W38,Caliber!B13:'Caliber'!B23,0),2)</f>
        <v>37</v>
      </c>
      <c r="Y38">
        <f>INDEX(Caliber!C13:'Caliber'!D23,MATCH(W38,Caliber!B13:'Caliber'!B23,0),2)</f>
        <v>0.4</v>
      </c>
      <c r="Z38" t="s">
        <v>117</v>
      </c>
    </row>
    <row r="39" spans="1:26" x14ac:dyDescent="0.25">
      <c r="A39" t="s">
        <v>171</v>
      </c>
      <c r="B39">
        <v>36</v>
      </c>
      <c r="C39" t="s">
        <v>90</v>
      </c>
      <c r="D39" t="s">
        <v>76</v>
      </c>
      <c r="E39" t="s">
        <v>123</v>
      </c>
      <c r="F39" t="b">
        <v>1</v>
      </c>
      <c r="G39">
        <v>50</v>
      </c>
      <c r="H39">
        <v>125</v>
      </c>
      <c r="I39">
        <v>60</v>
      </c>
      <c r="J39">
        <v>40</v>
      </c>
      <c r="K39">
        <v>65</v>
      </c>
      <c r="L39">
        <v>75</v>
      </c>
      <c r="M39">
        <v>65</v>
      </c>
      <c r="N39">
        <v>50</v>
      </c>
      <c r="O39">
        <v>24</v>
      </c>
      <c r="P39">
        <v>31</v>
      </c>
      <c r="Q39">
        <v>18</v>
      </c>
      <c r="R39">
        <v>200</v>
      </c>
      <c r="S39">
        <v>0</v>
      </c>
      <c r="T39">
        <v>3</v>
      </c>
      <c r="U39">
        <v>1</v>
      </c>
      <c r="V39">
        <v>1</v>
      </c>
      <c r="W39" t="s">
        <v>120</v>
      </c>
      <c r="X39">
        <f>INDEX(Caliber!B13:'Caliber'!C23,MATCH(W39,Caliber!B13:'Caliber'!B23,0),2)</f>
        <v>37</v>
      </c>
      <c r="Y39">
        <f>INDEX(Caliber!C13:'Caliber'!D23,MATCH(W39,Caliber!B13:'Caliber'!B23,0),2)</f>
        <v>0.4</v>
      </c>
      <c r="Z39" t="s">
        <v>125</v>
      </c>
    </row>
    <row r="40" spans="1:26" x14ac:dyDescent="0.25">
      <c r="A40" t="s">
        <v>173</v>
      </c>
      <c r="B40">
        <v>33</v>
      </c>
      <c r="C40" t="s">
        <v>90</v>
      </c>
      <c r="D40" t="s">
        <v>76</v>
      </c>
      <c r="E40" t="s">
        <v>123</v>
      </c>
      <c r="F40" t="b">
        <v>1</v>
      </c>
      <c r="G40">
        <v>50</v>
      </c>
      <c r="H40">
        <v>125</v>
      </c>
      <c r="I40">
        <v>60</v>
      </c>
      <c r="J40">
        <v>40</v>
      </c>
      <c r="K40">
        <v>30</v>
      </c>
      <c r="L40">
        <v>75</v>
      </c>
      <c r="M40">
        <v>65</v>
      </c>
      <c r="N40">
        <v>50</v>
      </c>
      <c r="O40">
        <v>24</v>
      </c>
      <c r="P40">
        <v>31</v>
      </c>
      <c r="Q40">
        <v>7</v>
      </c>
      <c r="R40">
        <v>200</v>
      </c>
      <c r="S40">
        <v>0</v>
      </c>
      <c r="T40">
        <v>3</v>
      </c>
      <c r="U40">
        <v>1</v>
      </c>
      <c r="V40">
        <v>1</v>
      </c>
      <c r="W40" t="s">
        <v>120</v>
      </c>
      <c r="X40">
        <f>INDEX(Caliber!B13:'Caliber'!C23,MATCH(W40,Caliber!B13:'Caliber'!B23,0),2)</f>
        <v>37</v>
      </c>
      <c r="Y40">
        <f>INDEX(Caliber!C13:'Caliber'!D23,MATCH(W40,Caliber!B13:'Caliber'!B23,0),2)</f>
        <v>0.4</v>
      </c>
      <c r="Z40" t="s">
        <v>129</v>
      </c>
    </row>
    <row r="41" spans="1:26" x14ac:dyDescent="0.25">
      <c r="A41" t="s">
        <v>170</v>
      </c>
      <c r="B41">
        <v>26</v>
      </c>
      <c r="C41" t="s">
        <v>90</v>
      </c>
      <c r="D41" t="s">
        <v>76</v>
      </c>
      <c r="E41" t="s">
        <v>76</v>
      </c>
      <c r="F41" t="b">
        <v>1</v>
      </c>
      <c r="G41">
        <v>50</v>
      </c>
      <c r="H41">
        <v>125</v>
      </c>
      <c r="I41">
        <v>80</v>
      </c>
      <c r="J41">
        <v>37</v>
      </c>
      <c r="K41">
        <v>53</v>
      </c>
      <c r="L41">
        <v>95</v>
      </c>
      <c r="M41">
        <v>65</v>
      </c>
      <c r="N41">
        <v>50</v>
      </c>
      <c r="O41">
        <v>29</v>
      </c>
      <c r="P41">
        <v>41</v>
      </c>
      <c r="Q41">
        <v>12</v>
      </c>
      <c r="R41">
        <v>200</v>
      </c>
      <c r="S41">
        <v>0</v>
      </c>
      <c r="T41">
        <v>3</v>
      </c>
      <c r="U41">
        <v>1</v>
      </c>
      <c r="V41">
        <v>5</v>
      </c>
      <c r="W41" t="s">
        <v>120</v>
      </c>
      <c r="X41">
        <f>INDEX(Caliber!B13:'Caliber'!C23,MATCH(W41,Caliber!B13:'Caliber'!B23,0),2)</f>
        <v>37</v>
      </c>
      <c r="Y41">
        <f>INDEX(Caliber!C13:'Caliber'!D23,MATCH(W41,Caliber!B13:'Caliber'!B23,0),2)</f>
        <v>0.4</v>
      </c>
      <c r="Z41" t="s">
        <v>117</v>
      </c>
    </row>
    <row r="42" spans="1:26" x14ac:dyDescent="0.25">
      <c r="A42" t="s">
        <v>204</v>
      </c>
      <c r="B42">
        <v>19</v>
      </c>
      <c r="C42" t="s">
        <v>90</v>
      </c>
      <c r="D42">
        <v>31000</v>
      </c>
      <c r="E42" t="s">
        <v>76</v>
      </c>
      <c r="F42" t="b">
        <v>1</v>
      </c>
      <c r="G42">
        <v>50</v>
      </c>
      <c r="H42">
        <v>125</v>
      </c>
      <c r="I42">
        <v>60</v>
      </c>
      <c r="J42">
        <v>45</v>
      </c>
      <c r="K42">
        <v>65</v>
      </c>
      <c r="L42">
        <v>70</v>
      </c>
      <c r="M42">
        <v>75</v>
      </c>
      <c r="N42">
        <v>45</v>
      </c>
      <c r="O42">
        <v>29</v>
      </c>
      <c r="P42">
        <v>39</v>
      </c>
      <c r="Q42">
        <v>8</v>
      </c>
      <c r="R42">
        <v>200</v>
      </c>
      <c r="S42">
        <v>0</v>
      </c>
      <c r="T42">
        <v>3</v>
      </c>
      <c r="U42">
        <v>1</v>
      </c>
      <c r="V42">
        <v>5</v>
      </c>
      <c r="W42" t="s">
        <v>25</v>
      </c>
      <c r="X42" cm="1">
        <f t="array" aca="1" ref="X42" ca="1">INDEX(Caliber!B13:'Caliber'!C23,MATCH(INDIRECT(ADDRESS(ROW(),COLUMN()-1)),Caliber!B13:'Caliber'!B23,0),2)</f>
        <v>43</v>
      </c>
      <c r="Y42" cm="1">
        <f t="array" aca="1" ref="Y42" ca="1">INDEX(Caliber!C13:'Caliber'!D23,MATCH(INDIRECT(ADDRESS(ROW(),COLUMN()-2)),Caliber!B13:'Caliber'!B23,0),2)</f>
        <v>0.6</v>
      </c>
      <c r="Z42" t="s">
        <v>137</v>
      </c>
    </row>
    <row r="43" spans="1:26" x14ac:dyDescent="0.25">
      <c r="A43" t="s">
        <v>193</v>
      </c>
      <c r="B43">
        <v>28</v>
      </c>
      <c r="C43" t="s">
        <v>90</v>
      </c>
      <c r="D43">
        <v>41000</v>
      </c>
      <c r="E43" t="s">
        <v>76</v>
      </c>
      <c r="F43" t="b">
        <v>1</v>
      </c>
      <c r="G43">
        <v>50</v>
      </c>
      <c r="H43">
        <v>125</v>
      </c>
      <c r="I43">
        <v>65</v>
      </c>
      <c r="J43">
        <v>45</v>
      </c>
      <c r="K43">
        <v>70</v>
      </c>
      <c r="L43">
        <v>85</v>
      </c>
      <c r="M43">
        <v>75</v>
      </c>
      <c r="N43">
        <v>45</v>
      </c>
      <c r="O43">
        <v>35</v>
      </c>
      <c r="P43">
        <v>40</v>
      </c>
      <c r="Q43">
        <v>12</v>
      </c>
      <c r="R43">
        <v>200</v>
      </c>
      <c r="S43">
        <v>0</v>
      </c>
      <c r="T43">
        <v>3</v>
      </c>
      <c r="U43">
        <v>1</v>
      </c>
      <c r="V43">
        <v>5</v>
      </c>
      <c r="W43" t="s">
        <v>152</v>
      </c>
      <c r="X43">
        <f>INDEX(Caliber!B13:'Caliber'!C23,MATCH(W43,Caliber!B13:'Caliber'!B23,0),2)</f>
        <v>45</v>
      </c>
      <c r="Y43">
        <f>INDEX(Caliber!C13:'Caliber'!D23,MATCH(W43,Caliber!B13:'Caliber'!B23,0),2)</f>
        <v>0.6</v>
      </c>
      <c r="Z43" t="s">
        <v>98</v>
      </c>
    </row>
    <row r="44" spans="1:26" x14ac:dyDescent="0.25">
      <c r="A44" t="s">
        <v>195</v>
      </c>
      <c r="B44">
        <v>38</v>
      </c>
      <c r="C44" t="s">
        <v>90</v>
      </c>
      <c r="D44" t="s">
        <v>76</v>
      </c>
      <c r="E44" t="s">
        <v>123</v>
      </c>
      <c r="F44" t="b">
        <v>1</v>
      </c>
      <c r="G44">
        <v>50</v>
      </c>
      <c r="H44">
        <v>125</v>
      </c>
      <c r="I44">
        <v>65</v>
      </c>
      <c r="J44">
        <v>45</v>
      </c>
      <c r="K44">
        <v>70</v>
      </c>
      <c r="L44">
        <v>85</v>
      </c>
      <c r="M44">
        <v>75</v>
      </c>
      <c r="N44">
        <v>45</v>
      </c>
      <c r="O44">
        <v>35</v>
      </c>
      <c r="P44">
        <v>40</v>
      </c>
      <c r="Q44">
        <v>16</v>
      </c>
      <c r="R44">
        <v>200</v>
      </c>
      <c r="S44">
        <v>0</v>
      </c>
      <c r="T44">
        <v>3</v>
      </c>
      <c r="U44">
        <v>1</v>
      </c>
      <c r="V44">
        <v>5</v>
      </c>
      <c r="W44" t="s">
        <v>152</v>
      </c>
      <c r="X44">
        <f>INDEX(Caliber!B13:'Caliber'!C23,MATCH(W44,Caliber!B13:'Caliber'!B23,0),2)</f>
        <v>45</v>
      </c>
      <c r="Y44">
        <f>INDEX(Caliber!C13:'Caliber'!D23,MATCH(W44,Caliber!B13:'Caliber'!B23,0),2)</f>
        <v>0.6</v>
      </c>
      <c r="Z44" t="s">
        <v>196</v>
      </c>
    </row>
    <row r="45" spans="1:26" x14ac:dyDescent="0.25">
      <c r="A45" t="s">
        <v>194</v>
      </c>
      <c r="B45">
        <v>30</v>
      </c>
      <c r="C45" t="s">
        <v>90</v>
      </c>
      <c r="D45" t="s">
        <v>76</v>
      </c>
      <c r="E45" t="s">
        <v>76</v>
      </c>
      <c r="F45" t="b">
        <v>1</v>
      </c>
      <c r="G45">
        <v>50</v>
      </c>
      <c r="H45">
        <v>125</v>
      </c>
      <c r="I45">
        <v>80</v>
      </c>
      <c r="J45">
        <v>42</v>
      </c>
      <c r="K45">
        <v>67</v>
      </c>
      <c r="L45">
        <v>105</v>
      </c>
      <c r="M45">
        <v>75</v>
      </c>
      <c r="N45">
        <v>45</v>
      </c>
      <c r="O45">
        <v>35</v>
      </c>
      <c r="P45">
        <v>40</v>
      </c>
      <c r="Q45">
        <v>12</v>
      </c>
      <c r="R45">
        <v>200</v>
      </c>
      <c r="S45">
        <v>0</v>
      </c>
      <c r="T45">
        <v>3</v>
      </c>
      <c r="U45">
        <v>1</v>
      </c>
      <c r="V45">
        <v>5</v>
      </c>
      <c r="W45" t="s">
        <v>152</v>
      </c>
      <c r="X45">
        <f>INDEX(Caliber!B13:'Caliber'!C23,MATCH(W45,Caliber!B13:'Caliber'!B23,0),2)</f>
        <v>45</v>
      </c>
      <c r="Y45">
        <f>INDEX(Caliber!C13:'Caliber'!D23,MATCH(W45,Caliber!B13:'Caliber'!B23,0),2)</f>
        <v>0.6</v>
      </c>
      <c r="Z45" t="s">
        <v>98</v>
      </c>
    </row>
    <row r="46" spans="1:26" x14ac:dyDescent="0.25">
      <c r="A46" t="s">
        <v>190</v>
      </c>
      <c r="B46">
        <v>24</v>
      </c>
      <c r="C46" t="s">
        <v>90</v>
      </c>
      <c r="D46">
        <v>38000</v>
      </c>
      <c r="E46" t="s">
        <v>76</v>
      </c>
      <c r="F46" t="b">
        <v>1</v>
      </c>
      <c r="G46">
        <v>50</v>
      </c>
      <c r="H46">
        <v>125</v>
      </c>
      <c r="I46">
        <v>65</v>
      </c>
      <c r="J46">
        <v>45</v>
      </c>
      <c r="K46">
        <v>70</v>
      </c>
      <c r="L46">
        <v>80</v>
      </c>
      <c r="M46">
        <v>70</v>
      </c>
      <c r="N46">
        <v>50</v>
      </c>
      <c r="O46">
        <v>32</v>
      </c>
      <c r="P46">
        <v>35</v>
      </c>
      <c r="Q46">
        <v>14</v>
      </c>
      <c r="R46">
        <v>200</v>
      </c>
      <c r="S46">
        <v>0</v>
      </c>
      <c r="T46">
        <v>3</v>
      </c>
      <c r="U46">
        <v>1</v>
      </c>
      <c r="V46">
        <v>5</v>
      </c>
      <c r="W46" t="s">
        <v>120</v>
      </c>
      <c r="X46">
        <f>INDEX(Caliber!B13:'Caliber'!C23,MATCH(W46,Caliber!B13:'Caliber'!B23,0),2)</f>
        <v>37</v>
      </c>
      <c r="Y46">
        <f>INDEX(Caliber!C13:'Caliber'!D23,MATCH(W46,Caliber!B13:'Caliber'!B23,0),2)</f>
        <v>0.4</v>
      </c>
      <c r="Z46" t="s">
        <v>117</v>
      </c>
    </row>
    <row r="47" spans="1:26" x14ac:dyDescent="0.25">
      <c r="A47" t="s">
        <v>192</v>
      </c>
      <c r="B47">
        <v>34</v>
      </c>
      <c r="C47" t="s">
        <v>90</v>
      </c>
      <c r="D47" t="s">
        <v>76</v>
      </c>
      <c r="E47" t="s">
        <v>123</v>
      </c>
      <c r="F47" t="b">
        <v>1</v>
      </c>
      <c r="G47">
        <v>50</v>
      </c>
      <c r="H47">
        <v>125</v>
      </c>
      <c r="I47">
        <v>65</v>
      </c>
      <c r="J47">
        <v>45</v>
      </c>
      <c r="K47">
        <v>70</v>
      </c>
      <c r="L47">
        <v>80</v>
      </c>
      <c r="M47">
        <v>70</v>
      </c>
      <c r="N47">
        <v>45</v>
      </c>
      <c r="O47">
        <v>37</v>
      </c>
      <c r="P47">
        <v>40</v>
      </c>
      <c r="Q47">
        <v>16</v>
      </c>
      <c r="R47">
        <v>200</v>
      </c>
      <c r="S47">
        <v>0</v>
      </c>
      <c r="T47">
        <v>3</v>
      </c>
      <c r="U47">
        <v>1</v>
      </c>
      <c r="V47">
        <v>5</v>
      </c>
      <c r="W47" t="s">
        <v>120</v>
      </c>
      <c r="X47">
        <f>INDEX(Caliber!B13:'Caliber'!C23,MATCH(W47,Caliber!B13:'Caliber'!B23,0),2)</f>
        <v>37</v>
      </c>
      <c r="Y47">
        <f>INDEX(Caliber!C13:'Caliber'!D23,MATCH(W47,Caliber!B13:'Caliber'!B23,0),2)</f>
        <v>0.4</v>
      </c>
      <c r="Z47" t="s">
        <v>125</v>
      </c>
    </row>
    <row r="48" spans="1:26" x14ac:dyDescent="0.25">
      <c r="A48" t="s">
        <v>191</v>
      </c>
      <c r="B48">
        <v>26</v>
      </c>
      <c r="C48" t="s">
        <v>90</v>
      </c>
      <c r="D48" t="s">
        <v>76</v>
      </c>
      <c r="E48" t="s">
        <v>76</v>
      </c>
      <c r="F48" t="b">
        <v>1</v>
      </c>
      <c r="G48">
        <v>50</v>
      </c>
      <c r="H48">
        <v>125</v>
      </c>
      <c r="I48">
        <v>80</v>
      </c>
      <c r="J48">
        <v>42</v>
      </c>
      <c r="K48">
        <v>67</v>
      </c>
      <c r="L48">
        <v>100</v>
      </c>
      <c r="M48">
        <v>70</v>
      </c>
      <c r="N48">
        <v>50</v>
      </c>
      <c r="O48">
        <v>37</v>
      </c>
      <c r="P48">
        <v>40</v>
      </c>
      <c r="Q48">
        <v>14</v>
      </c>
      <c r="R48">
        <v>200</v>
      </c>
      <c r="S48">
        <v>0</v>
      </c>
      <c r="T48">
        <v>3</v>
      </c>
      <c r="U48">
        <v>1</v>
      </c>
      <c r="V48">
        <v>5</v>
      </c>
      <c r="W48" t="s">
        <v>120</v>
      </c>
      <c r="X48">
        <f>INDEX(Caliber!B13:'Caliber'!C23,MATCH(W48,Caliber!B13:'Caliber'!B23,0),2)</f>
        <v>37</v>
      </c>
      <c r="Y48">
        <f>INDEX(Caliber!C13:'Caliber'!D23,MATCH(W48,Caliber!B13:'Caliber'!B23,0),2)</f>
        <v>0.4</v>
      </c>
      <c r="Z48" t="s">
        <v>117</v>
      </c>
    </row>
    <row r="49" spans="1:26" x14ac:dyDescent="0.25">
      <c r="A49" t="s">
        <v>198</v>
      </c>
      <c r="B49">
        <v>20</v>
      </c>
      <c r="C49" t="s">
        <v>90</v>
      </c>
      <c r="D49">
        <v>45000</v>
      </c>
      <c r="E49" t="s">
        <v>76</v>
      </c>
      <c r="F49" t="b">
        <v>1</v>
      </c>
      <c r="G49">
        <v>50</v>
      </c>
      <c r="H49">
        <v>125</v>
      </c>
      <c r="I49">
        <v>60</v>
      </c>
      <c r="J49">
        <v>40</v>
      </c>
      <c r="K49">
        <v>65</v>
      </c>
      <c r="L49">
        <v>70</v>
      </c>
      <c r="M49">
        <v>75</v>
      </c>
      <c r="N49">
        <v>40</v>
      </c>
      <c r="O49">
        <v>24</v>
      </c>
      <c r="P49">
        <v>34</v>
      </c>
      <c r="Q49">
        <v>8</v>
      </c>
      <c r="R49">
        <v>200</v>
      </c>
      <c r="S49">
        <v>0</v>
      </c>
      <c r="T49">
        <v>3</v>
      </c>
      <c r="U49">
        <v>1</v>
      </c>
      <c r="V49">
        <v>5</v>
      </c>
      <c r="W49" t="s">
        <v>28</v>
      </c>
      <c r="X49">
        <f>INDEX(Caliber!B13:'Caliber'!C23,MATCH(W49,Caliber!B13:'Caliber'!B23,0),2)</f>
        <v>51</v>
      </c>
      <c r="Y49">
        <f>INDEX(Caliber!C13:'Caliber'!D23,MATCH(W49,Caliber!B13:'Caliber'!B23,0),2)</f>
        <v>0.7</v>
      </c>
      <c r="Z49" t="s">
        <v>79</v>
      </c>
    </row>
    <row r="50" spans="1:26" x14ac:dyDescent="0.25">
      <c r="A50" t="s">
        <v>199</v>
      </c>
      <c r="B50">
        <v>20</v>
      </c>
      <c r="C50" t="s">
        <v>75</v>
      </c>
      <c r="D50" t="s">
        <v>76</v>
      </c>
      <c r="E50" t="s">
        <v>76</v>
      </c>
      <c r="F50" t="b">
        <v>0</v>
      </c>
      <c r="G50">
        <v>100</v>
      </c>
      <c r="H50">
        <v>100</v>
      </c>
      <c r="I50">
        <v>50</v>
      </c>
      <c r="J50">
        <v>30</v>
      </c>
      <c r="K50">
        <v>65</v>
      </c>
      <c r="L50">
        <v>30</v>
      </c>
      <c r="M50">
        <v>60</v>
      </c>
      <c r="N50">
        <v>10</v>
      </c>
      <c r="O50">
        <v>5</v>
      </c>
      <c r="P50">
        <v>15</v>
      </c>
      <c r="Q50">
        <v>2</v>
      </c>
      <c r="R50">
        <v>200</v>
      </c>
      <c r="S50">
        <v>0</v>
      </c>
      <c r="T50">
        <v>3</v>
      </c>
      <c r="U50">
        <v>1</v>
      </c>
      <c r="V50">
        <v>5</v>
      </c>
      <c r="W50" t="s">
        <v>28</v>
      </c>
      <c r="X50">
        <f>INDEX(Caliber!B13:'Caliber'!C23,MATCH(W50,Caliber!B13:'Caliber'!B23,0),2)</f>
        <v>51</v>
      </c>
      <c r="Y50">
        <f>INDEX(Caliber!C13:'Caliber'!D23,MATCH(W50,Caliber!B13:'Caliber'!B23,0),2)</f>
        <v>0.7</v>
      </c>
      <c r="Z50" t="s">
        <v>79</v>
      </c>
    </row>
    <row r="51" spans="1:26" x14ac:dyDescent="0.25">
      <c r="A51" t="s">
        <v>121</v>
      </c>
      <c r="B51">
        <v>23</v>
      </c>
      <c r="C51" t="s">
        <v>90</v>
      </c>
      <c r="D51">
        <v>30000</v>
      </c>
      <c r="E51" t="s">
        <v>76</v>
      </c>
      <c r="F51" t="b">
        <v>1</v>
      </c>
      <c r="G51">
        <v>50</v>
      </c>
      <c r="H51">
        <v>125</v>
      </c>
      <c r="I51">
        <v>50</v>
      </c>
      <c r="J51">
        <v>45</v>
      </c>
      <c r="K51">
        <v>55</v>
      </c>
      <c r="L51">
        <v>50</v>
      </c>
      <c r="M51">
        <v>60</v>
      </c>
      <c r="N51">
        <v>55</v>
      </c>
      <c r="O51">
        <v>20</v>
      </c>
      <c r="P51">
        <v>30</v>
      </c>
      <c r="Q51">
        <v>12</v>
      </c>
      <c r="R51">
        <v>200</v>
      </c>
      <c r="S51">
        <v>0</v>
      </c>
      <c r="T51">
        <v>3</v>
      </c>
      <c r="U51">
        <v>1</v>
      </c>
      <c r="V51">
        <v>5</v>
      </c>
      <c r="W51" t="s">
        <v>120</v>
      </c>
      <c r="X51">
        <f>INDEX(Caliber!B13:'Caliber'!C23,MATCH(W51,Caliber!B13:'Caliber'!B23,0),2)</f>
        <v>37</v>
      </c>
      <c r="Y51">
        <f>INDEX(Caliber!C13:'Caliber'!D23,MATCH(W51,Caliber!B13:'Caliber'!B23,0),2)</f>
        <v>0.4</v>
      </c>
      <c r="Z51" t="s">
        <v>117</v>
      </c>
    </row>
    <row r="52" spans="1:26" x14ac:dyDescent="0.25">
      <c r="A52" t="s">
        <v>122</v>
      </c>
      <c r="B52">
        <v>31</v>
      </c>
      <c r="C52" t="s">
        <v>90</v>
      </c>
      <c r="D52" t="s">
        <v>76</v>
      </c>
      <c r="E52" t="s">
        <v>123</v>
      </c>
      <c r="F52" t="b">
        <v>1</v>
      </c>
      <c r="G52">
        <v>50</v>
      </c>
      <c r="H52">
        <v>125</v>
      </c>
      <c r="I52">
        <v>50</v>
      </c>
      <c r="J52">
        <v>45</v>
      </c>
      <c r="K52">
        <v>75</v>
      </c>
      <c r="L52">
        <v>50</v>
      </c>
      <c r="M52">
        <v>60</v>
      </c>
      <c r="N52">
        <v>40</v>
      </c>
      <c r="O52">
        <v>20</v>
      </c>
      <c r="P52">
        <v>30</v>
      </c>
      <c r="Q52">
        <v>15</v>
      </c>
      <c r="R52">
        <v>200</v>
      </c>
      <c r="S52">
        <v>0</v>
      </c>
      <c r="T52">
        <v>3</v>
      </c>
      <c r="U52">
        <v>1</v>
      </c>
      <c r="V52">
        <v>1</v>
      </c>
      <c r="W52" t="s">
        <v>120</v>
      </c>
      <c r="X52">
        <f>INDEX(Caliber!B13:'Caliber'!C23,MATCH(W52,Caliber!B13:'Caliber'!B23,0),2)</f>
        <v>37</v>
      </c>
      <c r="Y52">
        <f>INDEX(Caliber!C13:'Caliber'!D23,MATCH(W52,Caliber!B13:'Caliber'!B23,0),2)</f>
        <v>0.4</v>
      </c>
      <c r="Z52" t="s">
        <v>125</v>
      </c>
    </row>
    <row r="53" spans="1:26" x14ac:dyDescent="0.25">
      <c r="A53" t="s">
        <v>126</v>
      </c>
      <c r="B53">
        <v>25</v>
      </c>
      <c r="C53" t="s">
        <v>90</v>
      </c>
      <c r="D53" t="s">
        <v>76</v>
      </c>
      <c r="E53" t="s">
        <v>76</v>
      </c>
      <c r="F53" t="b">
        <v>1</v>
      </c>
      <c r="G53">
        <v>50</v>
      </c>
      <c r="H53">
        <v>125</v>
      </c>
      <c r="I53">
        <v>65</v>
      </c>
      <c r="J53">
        <v>45</v>
      </c>
      <c r="K53">
        <v>55</v>
      </c>
      <c r="L53">
        <v>70</v>
      </c>
      <c r="M53">
        <v>55</v>
      </c>
      <c r="N53">
        <v>50</v>
      </c>
      <c r="O53">
        <v>25</v>
      </c>
      <c r="P53">
        <v>35</v>
      </c>
      <c r="Q53">
        <v>12</v>
      </c>
      <c r="R53">
        <v>200</v>
      </c>
      <c r="S53">
        <v>0</v>
      </c>
      <c r="T53">
        <v>3</v>
      </c>
      <c r="U53">
        <v>1</v>
      </c>
      <c r="V53">
        <v>5</v>
      </c>
      <c r="W53" t="s">
        <v>120</v>
      </c>
      <c r="X53">
        <f>INDEX(Caliber!B13:'Caliber'!C23,MATCH(W53,Caliber!B13:'Caliber'!B23,0),2)</f>
        <v>37</v>
      </c>
      <c r="Y53">
        <f>INDEX(Caliber!C13:'Caliber'!D23,MATCH(W53,Caliber!B13:'Caliber'!B23,0),2)</f>
        <v>0.4</v>
      </c>
      <c r="Z53" t="s">
        <v>117</v>
      </c>
    </row>
    <row r="54" spans="1:26" x14ac:dyDescent="0.25">
      <c r="A54" t="s">
        <v>127</v>
      </c>
      <c r="B54">
        <v>24</v>
      </c>
      <c r="C54" t="s">
        <v>90</v>
      </c>
      <c r="D54">
        <v>40000</v>
      </c>
      <c r="E54" t="s">
        <v>76</v>
      </c>
      <c r="F54" t="b">
        <v>1</v>
      </c>
      <c r="G54">
        <v>50</v>
      </c>
      <c r="H54">
        <v>125</v>
      </c>
      <c r="I54">
        <v>50</v>
      </c>
      <c r="J54">
        <v>40</v>
      </c>
      <c r="K54">
        <v>52</v>
      </c>
      <c r="L54">
        <v>60</v>
      </c>
      <c r="M54">
        <v>65</v>
      </c>
      <c r="N54">
        <v>60</v>
      </c>
      <c r="O54">
        <v>22</v>
      </c>
      <c r="P54">
        <v>32</v>
      </c>
      <c r="Q54">
        <v>12</v>
      </c>
      <c r="R54">
        <v>200</v>
      </c>
      <c r="S54">
        <v>0</v>
      </c>
      <c r="T54">
        <v>3</v>
      </c>
      <c r="U54">
        <v>1</v>
      </c>
      <c r="V54">
        <v>5</v>
      </c>
      <c r="W54" t="s">
        <v>120</v>
      </c>
      <c r="X54">
        <f>INDEX(Caliber!B13:'Caliber'!C23,MATCH(W54,Caliber!B13:'Caliber'!B23,0),2)</f>
        <v>37</v>
      </c>
      <c r="Y54">
        <f>INDEX(Caliber!C13:'Caliber'!D23,MATCH(W54,Caliber!B13:'Caliber'!B23,0),2)</f>
        <v>0.4</v>
      </c>
      <c r="Z54" t="s">
        <v>117</v>
      </c>
    </row>
    <row r="55" spans="1:26" x14ac:dyDescent="0.25">
      <c r="A55" t="s">
        <v>128</v>
      </c>
      <c r="B55">
        <v>26</v>
      </c>
      <c r="C55" t="s">
        <v>90</v>
      </c>
      <c r="D55" t="s">
        <v>76</v>
      </c>
      <c r="E55" t="s">
        <v>76</v>
      </c>
      <c r="F55" t="b">
        <v>1</v>
      </c>
      <c r="G55">
        <v>50</v>
      </c>
      <c r="H55">
        <v>125</v>
      </c>
      <c r="I55">
        <v>65</v>
      </c>
      <c r="J55">
        <v>40</v>
      </c>
      <c r="K55">
        <v>52</v>
      </c>
      <c r="L55">
        <v>80</v>
      </c>
      <c r="M55">
        <v>60</v>
      </c>
      <c r="N55">
        <v>50</v>
      </c>
      <c r="O55">
        <v>27</v>
      </c>
      <c r="P55">
        <v>37</v>
      </c>
      <c r="Q55">
        <v>13</v>
      </c>
      <c r="R55">
        <v>200</v>
      </c>
      <c r="S55">
        <v>0</v>
      </c>
      <c r="T55">
        <v>3</v>
      </c>
      <c r="U55">
        <v>1</v>
      </c>
      <c r="V55">
        <v>5</v>
      </c>
      <c r="W55" t="s">
        <v>120</v>
      </c>
      <c r="X55">
        <f>INDEX(Caliber!B13:'Caliber'!C23,MATCH(W55,Caliber!B13:'Caliber'!B23,0),2)</f>
        <v>37</v>
      </c>
      <c r="Y55">
        <f>INDEX(Caliber!C13:'Caliber'!D23,MATCH(W55,Caliber!B13:'Caliber'!B23,0),2)</f>
        <v>0.4</v>
      </c>
      <c r="Z55" t="s">
        <v>117</v>
      </c>
    </row>
    <row r="56" spans="1:26" x14ac:dyDescent="0.25">
      <c r="A56" t="s">
        <v>583</v>
      </c>
      <c r="B56">
        <v>24</v>
      </c>
      <c r="C56" t="s">
        <v>90</v>
      </c>
      <c r="D56" t="s">
        <v>76</v>
      </c>
      <c r="E56" t="s">
        <v>76</v>
      </c>
      <c r="F56" t="b">
        <v>1</v>
      </c>
      <c r="G56">
        <v>50</v>
      </c>
      <c r="H56">
        <v>125</v>
      </c>
      <c r="I56">
        <v>45</v>
      </c>
      <c r="J56">
        <v>25</v>
      </c>
      <c r="K56" t="s">
        <v>76</v>
      </c>
      <c r="L56">
        <v>90</v>
      </c>
      <c r="M56">
        <v>75</v>
      </c>
      <c r="N56" t="s">
        <v>76</v>
      </c>
      <c r="O56">
        <v>39</v>
      </c>
      <c r="P56">
        <v>33</v>
      </c>
      <c r="Q56" t="s">
        <v>76</v>
      </c>
      <c r="R56">
        <v>200</v>
      </c>
      <c r="S56">
        <v>0</v>
      </c>
      <c r="T56">
        <v>1</v>
      </c>
      <c r="U56">
        <v>1</v>
      </c>
      <c r="V56" t="s">
        <v>76</v>
      </c>
      <c r="W56" t="s">
        <v>120</v>
      </c>
      <c r="X56">
        <f>INDEX(Caliber!B13:'Caliber'!C23,MATCH(W55,Caliber!B13:'Caliber'!B23,0),2)</f>
        <v>37</v>
      </c>
      <c r="Y56" cm="1">
        <f t="array" aca="1" ref="Y56" ca="1">INDEX(Caliber!C13:'Caliber'!D23,MATCH(INDIRECT(ADDRESS(ROW(),COLUMN()-2)),Caliber!B13:'Caliber'!B23,0),2)</f>
        <v>0.4</v>
      </c>
      <c r="Z56" t="s">
        <v>117</v>
      </c>
    </row>
    <row r="57" spans="1:26" x14ac:dyDescent="0.25">
      <c r="X57" t="e" cm="1">
        <f t="array" aca="1" ref="X57" ca="1">INDEX(Caliber!B13:'Caliber'!C23,MATCH(INDIRECT(ADDRESS(ROW(),COLUMN()-1)),Caliber!B13:'Caliber'!B23,0),2)</f>
        <v>#N/A</v>
      </c>
      <c r="Y57" t="e" cm="1">
        <f t="array" aca="1" ref="Y57" ca="1">INDEX(Caliber!C13:'Caliber'!D23,MATCH(INDIRECT(ADDRESS(ROW(),COLUMN()-2)),Caliber!B13:'Caliber'!B23,0),2)</f>
        <v>#N/A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BDA0-E560-473A-9AD2-E06CBFB7AB92}">
  <dimension ref="A1:AA30"/>
  <sheetViews>
    <sheetView workbookViewId="0">
      <pane xSplit="1" topLeftCell="B1" activePane="topRight" state="frozen"/>
      <selection pane="topRight" activeCell="P20" sqref="P20"/>
    </sheetView>
  </sheetViews>
  <sheetFormatPr defaultRowHeight="15" x14ac:dyDescent="0.25"/>
  <cols>
    <col min="1" max="1" width="12.140625" customWidth="1"/>
    <col min="2" max="2" width="9.28515625" customWidth="1"/>
    <col min="3" max="3" width="6.85546875" customWidth="1"/>
    <col min="4" max="4" width="7" customWidth="1"/>
    <col min="5" max="5" width="13.7109375" customWidth="1"/>
    <col min="6" max="6" width="18.140625" customWidth="1"/>
    <col min="7" max="7" width="16.140625" customWidth="1"/>
    <col min="8" max="8" width="14" customWidth="1"/>
    <col min="9" max="9" width="10.85546875" customWidth="1"/>
    <col min="10" max="11" width="9.28515625" customWidth="1"/>
    <col min="12" max="12" width="11.7109375" customWidth="1"/>
    <col min="13" max="14" width="10.140625" customWidth="1"/>
    <col min="15" max="15" width="14" customWidth="1"/>
    <col min="16" max="17" width="12.42578125" customWidth="1"/>
    <col min="18" max="18" width="12.28515625" customWidth="1"/>
    <col min="19" max="19" width="12" customWidth="1"/>
    <col min="20" max="20" width="14.140625" customWidth="1"/>
    <col min="21" max="21" width="12.42578125" customWidth="1"/>
    <col min="22" max="22" width="12.28515625" customWidth="1"/>
    <col min="23" max="23" width="19.140625" customWidth="1"/>
    <col min="25" max="25" width="13.5703125" customWidth="1"/>
    <col min="26" max="26" width="11.7109375" customWidth="1"/>
    <col min="27" max="27" width="21.28515625" customWidth="1"/>
  </cols>
  <sheetData>
    <row r="1" spans="1:27" x14ac:dyDescent="0.25">
      <c r="A1" s="19" t="s">
        <v>0</v>
      </c>
      <c r="B1" s="19" t="s">
        <v>58</v>
      </c>
      <c r="C1" s="19" t="s">
        <v>59</v>
      </c>
      <c r="D1" s="19" t="s">
        <v>74</v>
      </c>
      <c r="E1" s="19" t="s">
        <v>60</v>
      </c>
      <c r="F1" s="19" t="s">
        <v>149</v>
      </c>
      <c r="G1" s="19" t="s">
        <v>61</v>
      </c>
      <c r="H1" s="19" t="s">
        <v>150</v>
      </c>
      <c r="I1" s="19" t="s">
        <v>63</v>
      </c>
      <c r="J1" s="19" t="s">
        <v>64</v>
      </c>
      <c r="K1" s="19" t="s">
        <v>65</v>
      </c>
      <c r="L1" s="19" t="s">
        <v>66</v>
      </c>
      <c r="M1" s="19" t="s">
        <v>67</v>
      </c>
      <c r="N1" s="19" t="s">
        <v>68</v>
      </c>
      <c r="O1" s="19" t="s">
        <v>69</v>
      </c>
      <c r="P1" s="19" t="s">
        <v>70</v>
      </c>
      <c r="Q1" s="19" t="s">
        <v>71</v>
      </c>
      <c r="R1" s="19" t="s">
        <v>72</v>
      </c>
      <c r="S1" s="19" t="s">
        <v>73</v>
      </c>
      <c r="T1" s="19" t="s">
        <v>86</v>
      </c>
      <c r="U1" s="19" t="s">
        <v>87</v>
      </c>
      <c r="V1" s="19" t="s">
        <v>88</v>
      </c>
      <c r="W1" s="19" t="s">
        <v>80</v>
      </c>
      <c r="X1" s="19" t="s">
        <v>2</v>
      </c>
      <c r="Y1" s="19" t="s">
        <v>81</v>
      </c>
      <c r="Z1" s="19" t="s">
        <v>78</v>
      </c>
      <c r="AA1" s="19" t="s">
        <v>21</v>
      </c>
    </row>
    <row r="2" spans="1:27" x14ac:dyDescent="0.25">
      <c r="A2" t="s">
        <v>148</v>
      </c>
      <c r="B2">
        <v>15</v>
      </c>
      <c r="C2" t="s">
        <v>90</v>
      </c>
      <c r="D2" t="s">
        <v>76</v>
      </c>
      <c r="E2" t="b">
        <v>1</v>
      </c>
      <c r="F2" t="b">
        <v>1</v>
      </c>
      <c r="G2" t="s">
        <v>76</v>
      </c>
      <c r="H2">
        <v>145</v>
      </c>
      <c r="I2">
        <v>90</v>
      </c>
      <c r="J2">
        <v>75</v>
      </c>
      <c r="K2" t="s">
        <v>76</v>
      </c>
      <c r="L2">
        <v>105</v>
      </c>
      <c r="M2">
        <v>80</v>
      </c>
      <c r="N2" t="s">
        <v>76</v>
      </c>
      <c r="O2">
        <v>200</v>
      </c>
      <c r="P2">
        <v>25</v>
      </c>
      <c r="Q2" t="s">
        <v>76</v>
      </c>
      <c r="R2">
        <v>200</v>
      </c>
      <c r="S2">
        <v>2</v>
      </c>
      <c r="T2">
        <v>1</v>
      </c>
      <c r="U2">
        <v>1</v>
      </c>
      <c r="V2" t="s">
        <v>76</v>
      </c>
      <c r="W2" t="s">
        <v>23</v>
      </c>
      <c r="X2">
        <f>INDEX(Caliber!B13:'Caliber'!C23,MATCH(W2,Caliber!B13:'Caliber'!B23,0),2)</f>
        <v>28</v>
      </c>
      <c r="Y2">
        <f>INDEX(Caliber!C13:'Caliber'!D23,MATCH(W2,Caliber!B13:'Caliber'!B23,0),2)</f>
        <v>0</v>
      </c>
      <c r="Z2" t="s">
        <v>101</v>
      </c>
    </row>
    <row r="3" spans="1:27" x14ac:dyDescent="0.25">
      <c r="A3" t="s">
        <v>151</v>
      </c>
      <c r="B3">
        <v>31</v>
      </c>
      <c r="C3" t="s">
        <v>90</v>
      </c>
      <c r="D3" t="s">
        <v>76</v>
      </c>
      <c r="E3" t="b">
        <v>1</v>
      </c>
      <c r="F3" t="b">
        <v>0</v>
      </c>
      <c r="G3">
        <v>35</v>
      </c>
      <c r="H3">
        <v>130</v>
      </c>
      <c r="I3">
        <v>85</v>
      </c>
      <c r="J3">
        <v>65</v>
      </c>
      <c r="K3" t="s">
        <v>76</v>
      </c>
      <c r="L3">
        <v>100</v>
      </c>
      <c r="M3">
        <v>60</v>
      </c>
      <c r="N3" t="s">
        <v>76</v>
      </c>
      <c r="O3">
        <v>200</v>
      </c>
      <c r="P3">
        <v>25</v>
      </c>
      <c r="Q3" t="s">
        <v>76</v>
      </c>
      <c r="R3">
        <v>200</v>
      </c>
      <c r="S3">
        <v>0</v>
      </c>
      <c r="T3">
        <v>1</v>
      </c>
      <c r="U3">
        <v>1</v>
      </c>
      <c r="V3" t="s">
        <v>76</v>
      </c>
      <c r="W3" t="s">
        <v>25</v>
      </c>
      <c r="X3">
        <f>INDEX(Caliber!B13:'Caliber'!C23,MATCH(W3,Caliber!B13:'Caliber'!B23,0),2)</f>
        <v>43</v>
      </c>
      <c r="Y3">
        <f>INDEX(Caliber!C13:'Caliber'!D23,MATCH(W3,Caliber!B13:'Caliber'!B23,0),2)</f>
        <v>0.6</v>
      </c>
      <c r="Z3" t="s">
        <v>96</v>
      </c>
    </row>
    <row r="4" spans="1:27" x14ac:dyDescent="0.25">
      <c r="A4" t="s">
        <v>155</v>
      </c>
      <c r="B4">
        <v>50</v>
      </c>
      <c r="C4" t="s">
        <v>90</v>
      </c>
      <c r="D4">
        <v>42000</v>
      </c>
      <c r="E4" t="b">
        <v>1</v>
      </c>
      <c r="F4" t="b">
        <v>1</v>
      </c>
      <c r="G4" t="s">
        <v>76</v>
      </c>
      <c r="H4">
        <v>145</v>
      </c>
      <c r="I4">
        <v>90</v>
      </c>
      <c r="J4">
        <v>60</v>
      </c>
      <c r="K4" t="s">
        <v>76</v>
      </c>
      <c r="L4">
        <v>125</v>
      </c>
      <c r="M4">
        <v>85</v>
      </c>
      <c r="N4" t="s">
        <v>76</v>
      </c>
      <c r="O4">
        <v>200</v>
      </c>
      <c r="P4">
        <v>35</v>
      </c>
      <c r="Q4" t="s">
        <v>76</v>
      </c>
      <c r="R4">
        <v>200</v>
      </c>
      <c r="S4">
        <v>5</v>
      </c>
      <c r="T4">
        <v>1</v>
      </c>
      <c r="U4">
        <v>1</v>
      </c>
      <c r="V4" t="s">
        <v>76</v>
      </c>
      <c r="W4" t="s">
        <v>152</v>
      </c>
      <c r="X4">
        <f>INDEX(Caliber!B13:'Caliber'!C23,MATCH(W4,Caliber!B13:'Caliber'!B23,0),2)</f>
        <v>45</v>
      </c>
      <c r="Y4">
        <f>INDEX(Caliber!C13:'Caliber'!D23,MATCH(W4,Caliber!B13:'Caliber'!B23,0),2)</f>
        <v>0.6</v>
      </c>
      <c r="Z4" t="s">
        <v>153</v>
      </c>
    </row>
    <row r="5" spans="1:27" x14ac:dyDescent="0.25">
      <c r="A5" t="s">
        <v>154</v>
      </c>
      <c r="B5">
        <v>43</v>
      </c>
      <c r="C5" t="s">
        <v>90</v>
      </c>
      <c r="D5">
        <v>46000</v>
      </c>
      <c r="E5" t="b">
        <v>1</v>
      </c>
      <c r="F5" t="b">
        <v>1</v>
      </c>
      <c r="G5" t="s">
        <v>76</v>
      </c>
      <c r="H5">
        <v>130</v>
      </c>
      <c r="I5">
        <v>85</v>
      </c>
      <c r="J5">
        <v>55</v>
      </c>
      <c r="K5">
        <v>70</v>
      </c>
      <c r="L5">
        <v>130</v>
      </c>
      <c r="M5">
        <v>90</v>
      </c>
      <c r="N5">
        <v>50</v>
      </c>
      <c r="O5">
        <v>200</v>
      </c>
      <c r="P5">
        <v>35</v>
      </c>
      <c r="Q5">
        <v>15</v>
      </c>
      <c r="R5">
        <v>200</v>
      </c>
      <c r="S5">
        <v>3</v>
      </c>
      <c r="T5">
        <v>1</v>
      </c>
      <c r="U5">
        <v>1</v>
      </c>
      <c r="V5">
        <v>3</v>
      </c>
      <c r="W5" t="s">
        <v>152</v>
      </c>
      <c r="X5">
        <f>INDEX(Caliber!B13:'Caliber'!C23,MATCH(W5,Caliber!B13:'Caliber'!B23,0),2)</f>
        <v>45</v>
      </c>
      <c r="Y5">
        <f>INDEX(Caliber!C13:'Caliber'!D23,MATCH(W5,Caliber!B13:'Caliber'!B23,0),2)</f>
        <v>0.6</v>
      </c>
      <c r="Z5" t="s">
        <v>156</v>
      </c>
    </row>
    <row r="6" spans="1:27" x14ac:dyDescent="0.25">
      <c r="A6" t="s">
        <v>157</v>
      </c>
      <c r="B6">
        <v>16</v>
      </c>
      <c r="C6" t="s">
        <v>90</v>
      </c>
      <c r="D6">
        <v>57000</v>
      </c>
      <c r="E6" t="b">
        <v>1</v>
      </c>
      <c r="F6" t="b">
        <v>0</v>
      </c>
      <c r="G6">
        <v>50</v>
      </c>
      <c r="H6">
        <v>130</v>
      </c>
      <c r="I6">
        <v>80</v>
      </c>
      <c r="J6">
        <v>50</v>
      </c>
      <c r="K6">
        <v>70</v>
      </c>
      <c r="L6">
        <v>115</v>
      </c>
      <c r="M6">
        <v>75</v>
      </c>
      <c r="N6">
        <v>55</v>
      </c>
      <c r="O6">
        <v>200</v>
      </c>
      <c r="P6">
        <v>35</v>
      </c>
      <c r="Q6">
        <v>18</v>
      </c>
      <c r="R6">
        <v>200</v>
      </c>
      <c r="S6">
        <v>2</v>
      </c>
      <c r="T6">
        <v>1</v>
      </c>
      <c r="U6">
        <v>1</v>
      </c>
      <c r="V6">
        <v>3</v>
      </c>
      <c r="W6" t="s">
        <v>28</v>
      </c>
      <c r="X6">
        <f>INDEX(Caliber!B13:'Caliber'!C23,MATCH(W6,Caliber!B13:'Caliber'!B23,0),2)</f>
        <v>51</v>
      </c>
      <c r="Y6">
        <f>INDEX(Caliber!C13:'Caliber'!D23,MATCH(W6,Caliber!B13:'Caliber'!B23,0),2)</f>
        <v>0.7</v>
      </c>
      <c r="Z6" t="s">
        <v>79</v>
      </c>
    </row>
    <row r="7" spans="1:27" x14ac:dyDescent="0.25">
      <c r="A7" t="s">
        <v>158</v>
      </c>
      <c r="B7">
        <v>35</v>
      </c>
      <c r="C7" t="s">
        <v>90</v>
      </c>
      <c r="D7">
        <v>43000</v>
      </c>
      <c r="E7" t="b">
        <v>1</v>
      </c>
      <c r="F7" t="b">
        <v>1</v>
      </c>
      <c r="G7" t="s">
        <v>76</v>
      </c>
      <c r="H7">
        <v>130</v>
      </c>
      <c r="I7">
        <v>85</v>
      </c>
      <c r="J7">
        <v>55</v>
      </c>
      <c r="K7">
        <v>70</v>
      </c>
      <c r="L7">
        <v>120</v>
      </c>
      <c r="M7">
        <v>90</v>
      </c>
      <c r="N7">
        <v>45</v>
      </c>
      <c r="O7">
        <v>200</v>
      </c>
      <c r="P7">
        <v>35</v>
      </c>
      <c r="Q7">
        <v>20</v>
      </c>
      <c r="R7">
        <v>200</v>
      </c>
      <c r="S7">
        <v>5</v>
      </c>
      <c r="T7">
        <v>1</v>
      </c>
      <c r="U7">
        <v>1</v>
      </c>
      <c r="V7">
        <v>3</v>
      </c>
      <c r="W7" t="s">
        <v>27</v>
      </c>
      <c r="X7">
        <f>INDEX(Caliber!B13:'Caliber'!C23,MATCH(W7,Caliber!B13:'Caliber'!B23,0),2)</f>
        <v>49</v>
      </c>
      <c r="Y7">
        <f>INDEX(Caliber!C13:'Caliber'!D23,MATCH(W7,Caliber!B13:'Caliber'!B23,0),2)</f>
        <v>0.7</v>
      </c>
      <c r="Z7" t="s">
        <v>96</v>
      </c>
    </row>
    <row r="8" spans="1:27" x14ac:dyDescent="0.25">
      <c r="A8" t="s">
        <v>159</v>
      </c>
      <c r="B8">
        <v>65</v>
      </c>
      <c r="C8" t="s">
        <v>90</v>
      </c>
      <c r="D8">
        <v>62000</v>
      </c>
      <c r="E8" t="b">
        <v>1</v>
      </c>
      <c r="F8" t="b">
        <v>1</v>
      </c>
      <c r="G8" t="s">
        <v>76</v>
      </c>
      <c r="H8">
        <v>150</v>
      </c>
      <c r="I8">
        <v>80</v>
      </c>
      <c r="J8">
        <v>65</v>
      </c>
      <c r="K8" t="s">
        <v>76</v>
      </c>
      <c r="L8">
        <v>115</v>
      </c>
      <c r="M8">
        <v>70</v>
      </c>
      <c r="N8" t="s">
        <v>76</v>
      </c>
      <c r="O8">
        <v>200</v>
      </c>
      <c r="P8">
        <v>50</v>
      </c>
      <c r="Q8" t="s">
        <v>76</v>
      </c>
      <c r="R8">
        <v>200</v>
      </c>
      <c r="S8">
        <v>5</v>
      </c>
      <c r="T8">
        <v>1</v>
      </c>
      <c r="U8">
        <v>1</v>
      </c>
      <c r="V8" t="s">
        <v>76</v>
      </c>
      <c r="W8" t="s">
        <v>31</v>
      </c>
      <c r="X8">
        <f>INDEX(Caliber!B13:'Caliber'!C23,MATCH(W8,Caliber!B13:'Caliber'!B23,0),2)</f>
        <v>75</v>
      </c>
      <c r="Y8">
        <f>INDEX(Caliber!C13:'Caliber'!D23,MATCH(W8,Caliber!B13:'Caliber'!B23,0),2)</f>
        <v>1</v>
      </c>
      <c r="Z8" t="s">
        <v>160</v>
      </c>
    </row>
    <row r="9" spans="1:27" x14ac:dyDescent="0.25">
      <c r="A9" t="s">
        <v>161</v>
      </c>
      <c r="B9">
        <v>40</v>
      </c>
      <c r="C9" t="s">
        <v>90</v>
      </c>
      <c r="D9">
        <v>52000</v>
      </c>
      <c r="E9" t="b">
        <v>1</v>
      </c>
      <c r="F9" t="b">
        <v>1</v>
      </c>
      <c r="G9" t="s">
        <v>76</v>
      </c>
      <c r="H9">
        <v>145</v>
      </c>
      <c r="I9">
        <v>90</v>
      </c>
      <c r="J9">
        <v>65</v>
      </c>
      <c r="K9" t="s">
        <v>76</v>
      </c>
      <c r="L9">
        <v>150</v>
      </c>
      <c r="M9">
        <v>100</v>
      </c>
      <c r="N9" t="s">
        <v>76</v>
      </c>
      <c r="O9">
        <v>200</v>
      </c>
      <c r="P9">
        <v>50</v>
      </c>
      <c r="Q9" t="s">
        <v>76</v>
      </c>
      <c r="R9">
        <v>200</v>
      </c>
      <c r="S9">
        <v>10</v>
      </c>
      <c r="T9">
        <v>1</v>
      </c>
      <c r="U9">
        <v>1</v>
      </c>
      <c r="V9" t="s">
        <v>76</v>
      </c>
      <c r="W9" t="s">
        <v>30</v>
      </c>
      <c r="X9">
        <f>INDEX(Caliber!B13:'Caliber'!C23,MATCH(W9,Caliber!B13:'Caliber'!B23,0),2)</f>
        <v>61</v>
      </c>
      <c r="Y9">
        <f>INDEX(Caliber!C13:'Caliber'!D23,MATCH(W9,Caliber!B13:'Caliber'!B23,0),2)</f>
        <v>0.8</v>
      </c>
      <c r="Z9" t="s">
        <v>160</v>
      </c>
    </row>
    <row r="10" spans="1:27" x14ac:dyDescent="0.25">
      <c r="A10" t="s">
        <v>162</v>
      </c>
      <c r="B10">
        <v>47</v>
      </c>
      <c r="C10" t="s">
        <v>90</v>
      </c>
      <c r="D10">
        <v>47500</v>
      </c>
      <c r="E10" t="b">
        <v>1</v>
      </c>
      <c r="F10" t="b">
        <v>1</v>
      </c>
      <c r="G10" t="s">
        <v>76</v>
      </c>
      <c r="H10">
        <v>145</v>
      </c>
      <c r="I10">
        <v>80</v>
      </c>
      <c r="J10">
        <v>55</v>
      </c>
      <c r="K10" t="s">
        <v>76</v>
      </c>
      <c r="L10">
        <v>115</v>
      </c>
      <c r="M10">
        <v>80</v>
      </c>
      <c r="N10" t="s">
        <v>76</v>
      </c>
      <c r="O10">
        <v>200</v>
      </c>
      <c r="P10">
        <v>33</v>
      </c>
      <c r="Q10" t="s">
        <v>76</v>
      </c>
      <c r="R10">
        <v>200</v>
      </c>
      <c r="S10">
        <v>5</v>
      </c>
      <c r="T10">
        <v>1</v>
      </c>
      <c r="U10">
        <v>1</v>
      </c>
      <c r="V10" t="s">
        <v>76</v>
      </c>
      <c r="W10" t="s">
        <v>152</v>
      </c>
      <c r="X10">
        <f>INDEX(Caliber!B13:'Caliber'!C23,MATCH(W10,Caliber!B13:'Caliber'!B23,0),2)</f>
        <v>45</v>
      </c>
      <c r="Y10">
        <f>INDEX(Caliber!C13:'Caliber'!D23,MATCH(W10,Caliber!B13:'Caliber'!B23,0),2)</f>
        <v>0.6</v>
      </c>
      <c r="Z10" t="s">
        <v>96</v>
      </c>
    </row>
    <row r="11" spans="1:27" x14ac:dyDescent="0.25">
      <c r="A11" t="s">
        <v>163</v>
      </c>
      <c r="B11">
        <v>47</v>
      </c>
      <c r="C11" t="s">
        <v>90</v>
      </c>
      <c r="D11">
        <v>51000</v>
      </c>
      <c r="E11" t="b">
        <v>1</v>
      </c>
      <c r="F11" t="b">
        <v>1</v>
      </c>
      <c r="G11" t="s">
        <v>76</v>
      </c>
      <c r="H11">
        <v>145</v>
      </c>
      <c r="I11">
        <v>85</v>
      </c>
      <c r="J11">
        <v>65</v>
      </c>
      <c r="K11" t="s">
        <v>76</v>
      </c>
      <c r="L11">
        <v>135</v>
      </c>
      <c r="M11">
        <v>85</v>
      </c>
      <c r="N11" t="s">
        <v>76</v>
      </c>
      <c r="O11">
        <v>200</v>
      </c>
      <c r="P11">
        <v>65</v>
      </c>
      <c r="Q11" t="s">
        <v>76</v>
      </c>
      <c r="R11">
        <v>200</v>
      </c>
      <c r="S11">
        <v>10</v>
      </c>
      <c r="T11">
        <v>1</v>
      </c>
      <c r="U11">
        <v>1</v>
      </c>
      <c r="V11" t="s">
        <v>76</v>
      </c>
      <c r="W11" t="s">
        <v>30</v>
      </c>
      <c r="X11">
        <f>INDEX(Caliber!B13:'Caliber'!C23,MATCH(W11,Caliber!B13:'Caliber'!B23,0),2)</f>
        <v>61</v>
      </c>
      <c r="Y11">
        <f>INDEX(Caliber!C13:'Caliber'!D23,MATCH(W11,Caliber!B13:'Caliber'!B23,0),2)</f>
        <v>0.8</v>
      </c>
      <c r="Z11" t="s">
        <v>160</v>
      </c>
    </row>
    <row r="12" spans="1:27" x14ac:dyDescent="0.25">
      <c r="A12" t="s">
        <v>164</v>
      </c>
      <c r="B12">
        <v>44</v>
      </c>
      <c r="C12" t="s">
        <v>90</v>
      </c>
      <c r="D12">
        <v>44000</v>
      </c>
      <c r="E12" t="b">
        <v>1</v>
      </c>
      <c r="F12" t="b">
        <v>1</v>
      </c>
      <c r="G12" t="s">
        <v>76</v>
      </c>
      <c r="H12">
        <v>145</v>
      </c>
      <c r="I12">
        <v>80</v>
      </c>
      <c r="J12">
        <v>55</v>
      </c>
      <c r="K12" t="s">
        <v>76</v>
      </c>
      <c r="L12">
        <v>110</v>
      </c>
      <c r="M12">
        <v>85</v>
      </c>
      <c r="N12" t="s">
        <v>76</v>
      </c>
      <c r="O12">
        <v>200</v>
      </c>
      <c r="P12">
        <v>35</v>
      </c>
      <c r="Q12" t="s">
        <v>76</v>
      </c>
      <c r="R12">
        <v>200</v>
      </c>
      <c r="S12">
        <v>5</v>
      </c>
      <c r="T12">
        <v>1</v>
      </c>
      <c r="U12">
        <v>1</v>
      </c>
      <c r="V12" t="s">
        <v>76</v>
      </c>
      <c r="W12" t="s">
        <v>152</v>
      </c>
      <c r="X12">
        <f>INDEX(Caliber!B13:'Caliber'!C23,MATCH(W12,Caliber!B13:'Caliber'!B23,0),2)</f>
        <v>45</v>
      </c>
      <c r="Y12">
        <f>INDEX(Caliber!C13:'Caliber'!D23,MATCH(W12,Caliber!B13:'Caliber'!B23,0),2)</f>
        <v>0.6</v>
      </c>
      <c r="Z12" t="s">
        <v>160</v>
      </c>
    </row>
    <row r="13" spans="1:27" x14ac:dyDescent="0.25">
      <c r="A13" t="s">
        <v>165</v>
      </c>
      <c r="B13">
        <v>70</v>
      </c>
      <c r="C13" t="s">
        <v>90</v>
      </c>
      <c r="D13">
        <v>60000</v>
      </c>
      <c r="E13" t="b">
        <v>1</v>
      </c>
      <c r="F13" t="b">
        <v>1</v>
      </c>
      <c r="G13" t="s">
        <v>76</v>
      </c>
      <c r="H13">
        <v>150</v>
      </c>
      <c r="I13">
        <v>90</v>
      </c>
      <c r="J13">
        <v>70</v>
      </c>
      <c r="K13" t="s">
        <v>76</v>
      </c>
      <c r="L13">
        <v>130</v>
      </c>
      <c r="M13">
        <v>75</v>
      </c>
      <c r="N13" t="s">
        <v>76</v>
      </c>
      <c r="O13">
        <v>200</v>
      </c>
      <c r="P13">
        <v>50</v>
      </c>
      <c r="Q13" t="s">
        <v>76</v>
      </c>
      <c r="R13">
        <v>200</v>
      </c>
      <c r="S13">
        <v>12</v>
      </c>
      <c r="T13">
        <v>1</v>
      </c>
      <c r="U13">
        <v>1</v>
      </c>
      <c r="V13" t="s">
        <v>76</v>
      </c>
      <c r="W13" t="s">
        <v>29</v>
      </c>
      <c r="X13">
        <f>INDEX(Caliber!B13:'Caliber'!C23,MATCH(W13,Caliber!B13:'Caliber'!B23,0),2)</f>
        <v>70</v>
      </c>
      <c r="Y13">
        <f>INDEX(Caliber!C13:'Caliber'!D23,MATCH(W13,Caliber!B13:'Caliber'!B23,0),2)</f>
        <v>1</v>
      </c>
      <c r="Z13" t="s">
        <v>166</v>
      </c>
    </row>
    <row r="14" spans="1:27" x14ac:dyDescent="0.25">
      <c r="A14" t="s">
        <v>521</v>
      </c>
      <c r="B14">
        <v>35</v>
      </c>
      <c r="C14" t="s">
        <v>90</v>
      </c>
      <c r="D14" t="s">
        <v>76</v>
      </c>
      <c r="E14" t="b">
        <v>1</v>
      </c>
      <c r="F14" t="b">
        <v>1</v>
      </c>
      <c r="G14" t="s">
        <v>76</v>
      </c>
      <c r="H14">
        <v>130</v>
      </c>
      <c r="I14">
        <v>80</v>
      </c>
      <c r="J14">
        <v>45</v>
      </c>
      <c r="K14" t="s">
        <v>76</v>
      </c>
      <c r="L14">
        <v>80</v>
      </c>
      <c r="M14">
        <v>60</v>
      </c>
      <c r="N14" t="s">
        <v>76</v>
      </c>
      <c r="O14">
        <v>30</v>
      </c>
      <c r="P14">
        <v>20</v>
      </c>
      <c r="Q14" t="s">
        <v>76</v>
      </c>
      <c r="R14">
        <v>200</v>
      </c>
      <c r="S14">
        <v>0</v>
      </c>
      <c r="T14">
        <v>1</v>
      </c>
      <c r="U14">
        <v>1</v>
      </c>
      <c r="V14" t="s">
        <v>76</v>
      </c>
      <c r="W14" t="s">
        <v>539</v>
      </c>
      <c r="X14">
        <f>INDEX(Caliber!B13:'Caliber'!C24,MATCH(W14,Caliber!B13:'Caliber'!B24,0),2)</f>
        <v>40</v>
      </c>
      <c r="Y14">
        <f>INDEX(Caliber!C13:'Caliber'!D24,MATCH(W14,Caliber!B13:'Caliber'!B24,0),2)</f>
        <v>0.5</v>
      </c>
      <c r="Z14" t="s">
        <v>178</v>
      </c>
      <c r="AA14" t="s">
        <v>540</v>
      </c>
    </row>
    <row r="15" spans="1:27" x14ac:dyDescent="0.25">
      <c r="A15" t="s">
        <v>541</v>
      </c>
      <c r="B15">
        <v>37</v>
      </c>
      <c r="C15" t="s">
        <v>90</v>
      </c>
      <c r="D15" t="s">
        <v>76</v>
      </c>
      <c r="E15" t="b">
        <v>1</v>
      </c>
      <c r="F15" t="b">
        <v>1</v>
      </c>
      <c r="G15" t="s">
        <v>76</v>
      </c>
      <c r="H15">
        <v>130</v>
      </c>
      <c r="I15">
        <v>85</v>
      </c>
      <c r="J15">
        <v>45</v>
      </c>
      <c r="K15" t="s">
        <v>76</v>
      </c>
      <c r="L15">
        <v>100</v>
      </c>
      <c r="M15">
        <v>55</v>
      </c>
      <c r="N15" t="s">
        <v>76</v>
      </c>
      <c r="O15">
        <v>200</v>
      </c>
      <c r="P15">
        <v>25</v>
      </c>
      <c r="Q15" t="s">
        <v>76</v>
      </c>
      <c r="R15">
        <v>200</v>
      </c>
      <c r="S15">
        <v>0</v>
      </c>
      <c r="T15">
        <v>1</v>
      </c>
      <c r="U15">
        <v>1</v>
      </c>
      <c r="V15" t="s">
        <v>76</v>
      </c>
      <c r="W15" t="s">
        <v>539</v>
      </c>
      <c r="X15">
        <f>INDEX(Caliber!B13:'Caliber'!C24,MATCH(W15,Caliber!B13:'Caliber'!B24,0),2)</f>
        <v>40</v>
      </c>
      <c r="Y15">
        <f>INDEX(Caliber!C13:'Caliber'!D24,MATCH(W15,Caliber!B13:'Caliber'!B24,0),2)</f>
        <v>0.5</v>
      </c>
      <c r="Z15" t="s">
        <v>178</v>
      </c>
      <c r="AA15" t="s">
        <v>542</v>
      </c>
    </row>
    <row r="16" spans="1:27" x14ac:dyDescent="0.25">
      <c r="A16" s="57" t="s">
        <v>594</v>
      </c>
      <c r="B16">
        <v>24</v>
      </c>
      <c r="C16" t="s">
        <v>90</v>
      </c>
      <c r="D16">
        <v>45000</v>
      </c>
      <c r="E16" t="b">
        <v>1</v>
      </c>
      <c r="F16" t="b">
        <v>1</v>
      </c>
      <c r="G16" t="s">
        <v>76</v>
      </c>
      <c r="H16">
        <v>145</v>
      </c>
      <c r="I16">
        <v>70</v>
      </c>
      <c r="J16">
        <v>50</v>
      </c>
      <c r="K16" t="s">
        <v>76</v>
      </c>
      <c r="L16">
        <v>115</v>
      </c>
      <c r="M16">
        <v>85</v>
      </c>
      <c r="N16" t="s">
        <v>76</v>
      </c>
      <c r="O16">
        <v>200</v>
      </c>
      <c r="P16">
        <v>35</v>
      </c>
      <c r="Q16" t="s">
        <v>76</v>
      </c>
      <c r="R16">
        <v>200</v>
      </c>
      <c r="S16">
        <v>5</v>
      </c>
      <c r="T16">
        <v>1</v>
      </c>
      <c r="U16">
        <v>1</v>
      </c>
      <c r="V16" t="s">
        <v>76</v>
      </c>
      <c r="W16" t="s">
        <v>120</v>
      </c>
      <c r="X16">
        <f>INDEX(Caliber!B13:'Caliber'!C23,MATCH(W16,Caliber!B13:'Caliber'!B23,0),2)</f>
        <v>37</v>
      </c>
      <c r="Y16">
        <f>INDEX(Caliber!C13:'Caliber'!D23,MATCH(W16,Caliber!B13:'Caliber'!B23,0),2)</f>
        <v>0.4</v>
      </c>
      <c r="Z16" t="s">
        <v>96</v>
      </c>
    </row>
    <row r="17" spans="1:26" x14ac:dyDescent="0.25">
      <c r="A17" t="s">
        <v>599</v>
      </c>
      <c r="B17">
        <v>27</v>
      </c>
      <c r="C17" t="s">
        <v>90</v>
      </c>
      <c r="D17">
        <v>49000</v>
      </c>
      <c r="E17" t="b">
        <v>1</v>
      </c>
      <c r="F17" t="b">
        <v>1</v>
      </c>
      <c r="G17" t="s">
        <v>76</v>
      </c>
      <c r="H17">
        <v>145</v>
      </c>
      <c r="I17">
        <v>75</v>
      </c>
      <c r="J17">
        <v>50</v>
      </c>
      <c r="K17" t="s">
        <v>76</v>
      </c>
      <c r="L17">
        <v>125</v>
      </c>
      <c r="M17">
        <v>90</v>
      </c>
      <c r="N17" t="s">
        <v>76</v>
      </c>
      <c r="O17">
        <v>200</v>
      </c>
      <c r="P17">
        <v>35</v>
      </c>
      <c r="Q17" t="s">
        <v>76</v>
      </c>
      <c r="R17">
        <v>200</v>
      </c>
      <c r="S17">
        <v>5</v>
      </c>
      <c r="T17">
        <v>1</v>
      </c>
      <c r="U17">
        <v>1</v>
      </c>
      <c r="V17" t="s">
        <v>76</v>
      </c>
      <c r="W17" t="s">
        <v>152</v>
      </c>
      <c r="X17">
        <f>INDEX(Caliber!B13:'Caliber'!C23,MATCH(W17,Caliber!B13:'Caliber'!B23,0),2)</f>
        <v>45</v>
      </c>
      <c r="Y17">
        <f>INDEX(Caliber!C13:'Caliber'!D23,MATCH(W17,Caliber!B13:'Caliber'!B23,0),2)</f>
        <v>0.6</v>
      </c>
      <c r="Z17" t="s">
        <v>96</v>
      </c>
    </row>
    <row r="18" spans="1:26" x14ac:dyDescent="0.25">
      <c r="X18" t="e">
        <f>INDEX(Caliber!B13:'Caliber'!C23,MATCH(W18,Caliber!B13:'Caliber'!B23,0),2)</f>
        <v>#N/A</v>
      </c>
      <c r="Y18" t="e">
        <f>INDEX(Caliber!C13:'Caliber'!D23,MATCH(W18,Caliber!B13:'Caliber'!B23,0),2)</f>
        <v>#N/A</v>
      </c>
    </row>
    <row r="19" spans="1:26" x14ac:dyDescent="0.25">
      <c r="X19" t="e">
        <f>INDEX(Caliber!B13:'Caliber'!C23,MATCH(W19,Caliber!B13:'Caliber'!B23,0),2)</f>
        <v>#N/A</v>
      </c>
      <c r="Y19" t="e">
        <f>INDEX(Caliber!C13:'Caliber'!D23,MATCH(W19,Caliber!B13:'Caliber'!B23,0),2)</f>
        <v>#N/A</v>
      </c>
    </row>
    <row r="20" spans="1:26" x14ac:dyDescent="0.25">
      <c r="X20" t="e">
        <f>INDEX(Caliber!B13:'Caliber'!C23,MATCH(W20,Caliber!B13:'Caliber'!B23,0),2)</f>
        <v>#N/A</v>
      </c>
      <c r="Y20" t="e">
        <f>INDEX(Caliber!C13:'Caliber'!D23,MATCH(W20,Caliber!B13:'Caliber'!B23,0),2)</f>
        <v>#N/A</v>
      </c>
    </row>
    <row r="21" spans="1:26" x14ac:dyDescent="0.25">
      <c r="X21" t="e">
        <f>INDEX(Caliber!B13:'Caliber'!C23,MATCH(W21,Caliber!B13:'Caliber'!B23,0),2)</f>
        <v>#N/A</v>
      </c>
      <c r="Y21" t="e">
        <f>INDEX(Caliber!C13:'Caliber'!D23,MATCH(W21,Caliber!B13:'Caliber'!B23,0),2)</f>
        <v>#N/A</v>
      </c>
    </row>
    <row r="22" spans="1:26" x14ac:dyDescent="0.25">
      <c r="X22" t="e">
        <f>INDEX(Caliber!B13:'Caliber'!C23,MATCH(W22,Caliber!B13:'Caliber'!B23,0),2)</f>
        <v>#N/A</v>
      </c>
      <c r="Y22" t="e">
        <f>INDEX(Caliber!C13:'Caliber'!D23,MATCH(W22,Caliber!B13:'Caliber'!B23,0),2)</f>
        <v>#N/A</v>
      </c>
    </row>
    <row r="23" spans="1:26" x14ac:dyDescent="0.25">
      <c r="X23" t="e">
        <f>INDEX(Caliber!B13:'Caliber'!C23,MATCH(W23,Caliber!B13:'Caliber'!B23,0),2)</f>
        <v>#N/A</v>
      </c>
      <c r="Y23" t="e">
        <f>INDEX(Caliber!C13:'Caliber'!D23,MATCH(W23,Caliber!B13:'Caliber'!B23,0),2)</f>
        <v>#N/A</v>
      </c>
    </row>
    <row r="24" spans="1:26" x14ac:dyDescent="0.25">
      <c r="X24" t="e">
        <f>INDEX(Caliber!B13:'Caliber'!C23,MATCH(W24,Caliber!B13:'Caliber'!B23,0),2)</f>
        <v>#N/A</v>
      </c>
      <c r="Y24" t="e">
        <f>INDEX(Caliber!C13:'Caliber'!D23,MATCH(W24,Caliber!B13:'Caliber'!B23,0),2)</f>
        <v>#N/A</v>
      </c>
    </row>
    <row r="25" spans="1:26" x14ac:dyDescent="0.25">
      <c r="X25" t="e">
        <f>INDEX(Caliber!B13:'Caliber'!C23,MATCH(W25,Caliber!B13:'Caliber'!B23,0),2)</f>
        <v>#N/A</v>
      </c>
      <c r="Y25" t="e">
        <f>INDEX(Caliber!C13:'Caliber'!D23,MATCH(W25,Caliber!B13:'Caliber'!B23,0),2)</f>
        <v>#N/A</v>
      </c>
    </row>
    <row r="26" spans="1:26" x14ac:dyDescent="0.25">
      <c r="X26" t="e">
        <f>INDEX(Caliber!B13:'Caliber'!C23,MATCH(W26,Caliber!B13:'Caliber'!B23,0),2)</f>
        <v>#N/A</v>
      </c>
      <c r="Y26" t="e">
        <f>INDEX(Caliber!C13:'Caliber'!D23,MATCH(W26,Caliber!B13:'Caliber'!B23,0),2)</f>
        <v>#N/A</v>
      </c>
    </row>
    <row r="27" spans="1:26" x14ac:dyDescent="0.25">
      <c r="X27" t="e">
        <f>INDEX(Caliber!B13:'Caliber'!C23,MATCH(W27,Caliber!B13:'Caliber'!B23,0),2)</f>
        <v>#N/A</v>
      </c>
      <c r="Y27" t="e">
        <f>INDEX(Caliber!C13:'Caliber'!D23,MATCH(W27,Caliber!B13:'Caliber'!B23,0),2)</f>
        <v>#N/A</v>
      </c>
    </row>
    <row r="28" spans="1:26" x14ac:dyDescent="0.25">
      <c r="X28" t="e">
        <f>INDEX(Caliber!B13:'Caliber'!C23,MATCH(W28,Caliber!B13:'Caliber'!B23,0),2)</f>
        <v>#N/A</v>
      </c>
      <c r="Y28" t="e">
        <f>INDEX(Caliber!C13:'Caliber'!D23,MATCH(W28,Caliber!B13:'Caliber'!B23,0),2)</f>
        <v>#N/A</v>
      </c>
    </row>
    <row r="29" spans="1:26" x14ac:dyDescent="0.25">
      <c r="X29" t="e">
        <f>INDEX(Caliber!B13:'Caliber'!C23,MATCH(W29,Caliber!B13:'Caliber'!B23,0),2)</f>
        <v>#N/A</v>
      </c>
      <c r="Y29" t="e">
        <f>INDEX(Caliber!C13:'Caliber'!D23,MATCH(W29,Caliber!B13:'Caliber'!B23,0),2)</f>
        <v>#N/A</v>
      </c>
    </row>
    <row r="30" spans="1:26" x14ac:dyDescent="0.25">
      <c r="X30" t="e">
        <f>INDEX(Caliber!B13:'Caliber'!C23,MATCH(W30,Caliber!B13:'Caliber'!B23,0),2)</f>
        <v>#N/A</v>
      </c>
      <c r="Y30" t="e">
        <f>INDEX(Caliber!C13:'Caliber'!D23,MATCH(W30,Caliber!B13:'Caliber'!B23,0),2)</f>
        <v>#N/A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758D-66BB-49AA-8233-CCB9E398E093}">
  <dimension ref="A1:AB12"/>
  <sheetViews>
    <sheetView workbookViewId="0">
      <pane xSplit="1" topLeftCell="B1" activePane="topRight" state="frozen"/>
      <selection pane="topRight" activeCell="D19" sqref="D19"/>
    </sheetView>
  </sheetViews>
  <sheetFormatPr defaultRowHeight="15" x14ac:dyDescent="0.25"/>
  <cols>
    <col min="1" max="1" width="14" customWidth="1"/>
    <col min="2" max="2" width="9.28515625" customWidth="1"/>
    <col min="5" max="5" width="13.7109375" customWidth="1"/>
    <col min="6" max="6" width="16.140625" customWidth="1"/>
    <col min="7" max="7" width="14" customWidth="1"/>
    <col min="9" max="9" width="10.85546875" customWidth="1"/>
    <col min="10" max="11" width="9.28515625" customWidth="1"/>
    <col min="12" max="12" width="11.7109375" customWidth="1"/>
    <col min="13" max="13" width="10.140625" customWidth="1"/>
    <col min="14" max="14" width="11.42578125" customWidth="1"/>
    <col min="15" max="15" width="14" customWidth="1"/>
    <col min="16" max="17" width="12.42578125" customWidth="1"/>
    <col min="18" max="18" width="12.28515625" customWidth="1"/>
    <col min="19" max="19" width="12" customWidth="1"/>
    <col min="20" max="20" width="14.140625" customWidth="1"/>
    <col min="21" max="21" width="12.42578125" customWidth="1"/>
    <col min="22" max="22" width="12.28515625" customWidth="1"/>
    <col min="23" max="23" width="15.7109375" customWidth="1"/>
    <col min="24" max="24" width="11.5703125" customWidth="1"/>
    <col min="25" max="25" width="11.28515625" customWidth="1"/>
    <col min="26" max="26" width="13.5703125" customWidth="1"/>
    <col min="27" max="27" width="11.7109375" customWidth="1"/>
    <col min="28" max="28" width="25.140625" customWidth="1"/>
  </cols>
  <sheetData>
    <row r="1" spans="1:28" x14ac:dyDescent="0.25">
      <c r="A1" s="19" t="s">
        <v>0</v>
      </c>
      <c r="B1" s="19" t="s">
        <v>58</v>
      </c>
      <c r="C1" s="19" t="s">
        <v>59</v>
      </c>
      <c r="D1" s="19" t="s">
        <v>74</v>
      </c>
      <c r="E1" s="19" t="s">
        <v>60</v>
      </c>
      <c r="F1" s="19" t="s">
        <v>61</v>
      </c>
      <c r="G1" s="19" t="s">
        <v>150</v>
      </c>
      <c r="H1" s="19" t="s">
        <v>167</v>
      </c>
      <c r="I1" s="19" t="s">
        <v>63</v>
      </c>
      <c r="J1" s="19" t="s">
        <v>64</v>
      </c>
      <c r="K1" s="19" t="s">
        <v>65</v>
      </c>
      <c r="L1" s="19" t="s">
        <v>66</v>
      </c>
      <c r="M1" s="19" t="s">
        <v>67</v>
      </c>
      <c r="N1" s="19" t="s">
        <v>68</v>
      </c>
      <c r="O1" s="19" t="s">
        <v>69</v>
      </c>
      <c r="P1" s="19" t="s">
        <v>70</v>
      </c>
      <c r="Q1" s="19" t="s">
        <v>71</v>
      </c>
      <c r="R1" s="19" t="s">
        <v>72</v>
      </c>
      <c r="S1" s="19" t="s">
        <v>73</v>
      </c>
      <c r="T1" s="19" t="s">
        <v>86</v>
      </c>
      <c r="U1" s="19" t="s">
        <v>87</v>
      </c>
      <c r="V1" s="19" t="s">
        <v>88</v>
      </c>
      <c r="W1" s="19" t="s">
        <v>80</v>
      </c>
      <c r="X1" s="19" t="s">
        <v>2</v>
      </c>
      <c r="Y1" s="19" t="s">
        <v>1</v>
      </c>
      <c r="Z1" s="19" t="s">
        <v>81</v>
      </c>
      <c r="AA1" s="19" t="s">
        <v>78</v>
      </c>
      <c r="AB1" s="19" t="s">
        <v>21</v>
      </c>
    </row>
    <row r="2" spans="1:28" x14ac:dyDescent="0.25">
      <c r="A2" t="s">
        <v>168</v>
      </c>
      <c r="B2">
        <v>32</v>
      </c>
      <c r="C2" t="s">
        <v>90</v>
      </c>
      <c r="D2" t="s">
        <v>76</v>
      </c>
      <c r="E2" t="b">
        <v>1</v>
      </c>
      <c r="F2">
        <v>35</v>
      </c>
      <c r="G2">
        <v>115</v>
      </c>
      <c r="H2">
        <v>10</v>
      </c>
      <c r="I2">
        <v>65</v>
      </c>
      <c r="J2">
        <v>35</v>
      </c>
      <c r="K2" t="s">
        <v>76</v>
      </c>
      <c r="L2">
        <v>80</v>
      </c>
      <c r="M2">
        <v>40</v>
      </c>
      <c r="N2" t="s">
        <v>76</v>
      </c>
      <c r="O2">
        <v>14</v>
      </c>
      <c r="P2">
        <v>7</v>
      </c>
      <c r="Q2" t="s">
        <v>76</v>
      </c>
      <c r="R2">
        <v>30</v>
      </c>
      <c r="S2">
        <v>0</v>
      </c>
      <c r="T2">
        <v>1</v>
      </c>
      <c r="U2">
        <v>1</v>
      </c>
      <c r="V2" t="s">
        <v>76</v>
      </c>
      <c r="W2" t="s">
        <v>33</v>
      </c>
      <c r="X2">
        <f>INDEX(Caliber!B26:'Caliber'!C33,MATCH(W2,Caliber!B26:'Caliber'!B33,0),2)</f>
        <v>18</v>
      </c>
      <c r="Y2">
        <f>INDEX(Caliber!B26:'Caliber'!D33,MATCH(W2,Caliber!B26:'Caliber'!B33,0),3)</f>
        <v>10</v>
      </c>
      <c r="Z2">
        <f>INDEX(Caliber!B26:'Caliber'!F33,MATCH(W2,Caliber!B26:'Caliber'!B33,0),5)</f>
        <v>0</v>
      </c>
      <c r="AA2" t="s">
        <v>175</v>
      </c>
    </row>
    <row r="3" spans="1:28" x14ac:dyDescent="0.25">
      <c r="A3" t="s">
        <v>176</v>
      </c>
      <c r="B3">
        <v>12</v>
      </c>
      <c r="C3" t="s">
        <v>75</v>
      </c>
      <c r="D3">
        <v>30000</v>
      </c>
      <c r="E3" t="b">
        <v>1</v>
      </c>
      <c r="F3">
        <v>80</v>
      </c>
      <c r="G3">
        <v>100</v>
      </c>
      <c r="H3">
        <v>0</v>
      </c>
      <c r="I3">
        <v>60</v>
      </c>
      <c r="J3">
        <v>30</v>
      </c>
      <c r="K3" t="s">
        <v>76</v>
      </c>
      <c r="L3">
        <v>75</v>
      </c>
      <c r="M3">
        <v>45</v>
      </c>
      <c r="N3" t="s">
        <v>76</v>
      </c>
      <c r="O3">
        <v>12</v>
      </c>
      <c r="P3">
        <v>5</v>
      </c>
      <c r="Q3" t="s">
        <v>76</v>
      </c>
      <c r="R3">
        <v>30</v>
      </c>
      <c r="S3">
        <v>0</v>
      </c>
      <c r="T3">
        <v>1</v>
      </c>
      <c r="U3">
        <v>1</v>
      </c>
      <c r="V3" t="s">
        <v>76</v>
      </c>
      <c r="W3" t="s">
        <v>33</v>
      </c>
      <c r="X3">
        <f>INDEX(Caliber!B26:'Caliber'!C33,MATCH(W3,Caliber!B26:'Caliber'!B33,0),2)</f>
        <v>18</v>
      </c>
      <c r="Y3">
        <f>INDEX(Caliber!B26:'Caliber'!D33,MATCH(W3,Caliber!B26:'Caliber'!B33,0),3)</f>
        <v>10</v>
      </c>
      <c r="Z3">
        <f>INDEX(Caliber!B26:'Caliber'!F33,MATCH(W3,Caliber!B26:'Caliber'!B33,0),5)</f>
        <v>0</v>
      </c>
      <c r="AA3" t="s">
        <v>160</v>
      </c>
      <c r="AB3" t="s">
        <v>449</v>
      </c>
    </row>
    <row r="4" spans="1:28" x14ac:dyDescent="0.25">
      <c r="A4" t="s">
        <v>177</v>
      </c>
      <c r="B4">
        <v>25</v>
      </c>
      <c r="C4" t="s">
        <v>90</v>
      </c>
      <c r="D4">
        <v>21000</v>
      </c>
      <c r="E4" t="b">
        <v>1</v>
      </c>
      <c r="F4">
        <v>35</v>
      </c>
      <c r="G4">
        <v>115</v>
      </c>
      <c r="H4">
        <v>5</v>
      </c>
      <c r="I4">
        <v>50</v>
      </c>
      <c r="J4">
        <v>30</v>
      </c>
      <c r="K4" t="s">
        <v>76</v>
      </c>
      <c r="L4">
        <v>95</v>
      </c>
      <c r="M4">
        <v>50</v>
      </c>
      <c r="N4" t="s">
        <v>76</v>
      </c>
      <c r="O4">
        <v>15</v>
      </c>
      <c r="P4">
        <v>7</v>
      </c>
      <c r="Q4" t="s">
        <v>76</v>
      </c>
      <c r="R4">
        <v>30</v>
      </c>
      <c r="S4">
        <v>0</v>
      </c>
      <c r="T4">
        <v>1</v>
      </c>
      <c r="U4">
        <v>1</v>
      </c>
      <c r="V4" t="s">
        <v>76</v>
      </c>
      <c r="W4" t="s">
        <v>33</v>
      </c>
      <c r="X4">
        <f>INDEX(Caliber!B26:'Caliber'!C33,MATCH(W4,Caliber!B26:'Caliber'!B33,0),2)</f>
        <v>18</v>
      </c>
      <c r="Y4">
        <f>INDEX(Caliber!B26:'Caliber'!D33,MATCH(W4,Caliber!B26:'Caliber'!B33,0),3)</f>
        <v>10</v>
      </c>
      <c r="Z4">
        <f>INDEX(Caliber!B26:'Caliber'!F33,MATCH(W4,Caliber!B26:'Caliber'!B33,0),5)</f>
        <v>0</v>
      </c>
      <c r="AA4" t="s">
        <v>178</v>
      </c>
      <c r="AB4" t="s">
        <v>450</v>
      </c>
    </row>
    <row r="5" spans="1:28" x14ac:dyDescent="0.25">
      <c r="A5" t="s">
        <v>180</v>
      </c>
      <c r="B5">
        <v>33</v>
      </c>
      <c r="C5" t="s">
        <v>90</v>
      </c>
      <c r="D5">
        <v>28000</v>
      </c>
      <c r="E5" t="b">
        <v>1</v>
      </c>
      <c r="F5">
        <v>35</v>
      </c>
      <c r="G5">
        <v>115</v>
      </c>
      <c r="H5">
        <v>5</v>
      </c>
      <c r="I5">
        <v>55</v>
      </c>
      <c r="J5">
        <v>35</v>
      </c>
      <c r="K5" t="s">
        <v>76</v>
      </c>
      <c r="L5">
        <v>110</v>
      </c>
      <c r="M5">
        <v>55</v>
      </c>
      <c r="N5" t="s">
        <v>76</v>
      </c>
      <c r="O5">
        <v>18</v>
      </c>
      <c r="P5">
        <v>10</v>
      </c>
      <c r="Q5" t="s">
        <v>76</v>
      </c>
      <c r="R5">
        <v>30</v>
      </c>
      <c r="S5">
        <v>0</v>
      </c>
      <c r="T5">
        <v>1</v>
      </c>
      <c r="U5">
        <v>1</v>
      </c>
      <c r="V5" t="s">
        <v>76</v>
      </c>
      <c r="W5" t="s">
        <v>33</v>
      </c>
      <c r="X5">
        <f>INDEX(Caliber!B26:'Caliber'!C33,MATCH(W5,Caliber!B26:'Caliber'!B33,0),2)</f>
        <v>18</v>
      </c>
      <c r="Y5">
        <f>INDEX(Caliber!B26:'Caliber'!D33,MATCH(W5,Caliber!B26:'Caliber'!B33,0),3)</f>
        <v>10</v>
      </c>
      <c r="Z5">
        <f>INDEX(Caliber!B26:'Caliber'!F33,MATCH(W5,Caliber!B26:'Caliber'!B33,0),5)</f>
        <v>0</v>
      </c>
      <c r="AA5" t="s">
        <v>178</v>
      </c>
      <c r="AB5" t="s">
        <v>450</v>
      </c>
    </row>
    <row r="6" spans="1:28" x14ac:dyDescent="0.25">
      <c r="A6" t="s">
        <v>181</v>
      </c>
      <c r="B6">
        <v>30</v>
      </c>
      <c r="C6" t="s">
        <v>90</v>
      </c>
      <c r="D6">
        <v>30000</v>
      </c>
      <c r="E6" t="b">
        <v>1</v>
      </c>
      <c r="F6">
        <v>35</v>
      </c>
      <c r="G6">
        <v>115</v>
      </c>
      <c r="H6">
        <v>0</v>
      </c>
      <c r="I6">
        <v>55</v>
      </c>
      <c r="J6">
        <v>25</v>
      </c>
      <c r="K6" t="s">
        <v>76</v>
      </c>
      <c r="L6">
        <v>100</v>
      </c>
      <c r="M6">
        <v>60</v>
      </c>
      <c r="N6" t="s">
        <v>76</v>
      </c>
      <c r="O6">
        <v>20</v>
      </c>
      <c r="P6">
        <v>10</v>
      </c>
      <c r="Q6" t="s">
        <v>76</v>
      </c>
      <c r="R6">
        <v>30</v>
      </c>
      <c r="S6">
        <v>0</v>
      </c>
      <c r="T6">
        <v>1</v>
      </c>
      <c r="U6">
        <v>1</v>
      </c>
      <c r="V6" t="s">
        <v>76</v>
      </c>
      <c r="W6" t="s">
        <v>37</v>
      </c>
      <c r="X6">
        <f>INDEX(Caliber!B26:'Caliber'!C33,MATCH(W6,Caliber!B26:'Caliber'!B33,0),2)</f>
        <v>18</v>
      </c>
      <c r="Y6">
        <f>INDEX(Caliber!B26:'Caliber'!D33,MATCH(W6,Caliber!B26:'Caliber'!B33,0),3)</f>
        <v>20</v>
      </c>
      <c r="Z6">
        <f>INDEX(Caliber!B26:'Caliber'!F33,MATCH(W6,Caliber!B26:'Caliber'!B33,0),5)</f>
        <v>0</v>
      </c>
      <c r="AA6" t="s">
        <v>182</v>
      </c>
      <c r="AB6" t="s">
        <v>179</v>
      </c>
    </row>
    <row r="7" spans="1:28" x14ac:dyDescent="0.25">
      <c r="A7" t="s">
        <v>183</v>
      </c>
      <c r="B7">
        <v>37</v>
      </c>
      <c r="C7" t="s">
        <v>90</v>
      </c>
      <c r="D7">
        <v>51000</v>
      </c>
      <c r="E7" t="b">
        <v>1</v>
      </c>
      <c r="F7">
        <v>35</v>
      </c>
      <c r="G7">
        <v>115</v>
      </c>
      <c r="H7">
        <v>0</v>
      </c>
      <c r="I7">
        <v>40</v>
      </c>
      <c r="J7">
        <v>15</v>
      </c>
      <c r="K7" t="s">
        <v>76</v>
      </c>
      <c r="L7">
        <v>80</v>
      </c>
      <c r="M7">
        <v>50</v>
      </c>
      <c r="N7" t="s">
        <v>76</v>
      </c>
      <c r="O7">
        <v>15</v>
      </c>
      <c r="P7">
        <v>7</v>
      </c>
      <c r="Q7" t="s">
        <v>76</v>
      </c>
      <c r="R7">
        <v>30</v>
      </c>
      <c r="S7">
        <v>0</v>
      </c>
      <c r="T7">
        <v>1</v>
      </c>
      <c r="U7">
        <v>1</v>
      </c>
      <c r="V7" t="s">
        <v>76</v>
      </c>
      <c r="W7" t="s">
        <v>33</v>
      </c>
      <c r="X7">
        <f>INDEX(Caliber!B26:'Caliber'!C33,MATCH(W7,Caliber!B26:'Caliber'!B33,0),2)</f>
        <v>18</v>
      </c>
      <c r="Y7">
        <f>INDEX(Caliber!B26:'Caliber'!D33,MATCH(W7,Caliber!B26:'Caliber'!B33,0),3)</f>
        <v>10</v>
      </c>
      <c r="Z7">
        <f>INDEX(Caliber!B26:'Caliber'!F33,MATCH(W7,Caliber!B26:'Caliber'!B33,0),5)</f>
        <v>0</v>
      </c>
      <c r="AA7" t="s">
        <v>184</v>
      </c>
      <c r="AB7" t="s">
        <v>185</v>
      </c>
    </row>
    <row r="8" spans="1:28" x14ac:dyDescent="0.25">
      <c r="A8" t="s">
        <v>186</v>
      </c>
      <c r="B8">
        <v>46</v>
      </c>
      <c r="C8" t="s">
        <v>90</v>
      </c>
      <c r="D8">
        <v>40000</v>
      </c>
      <c r="E8" t="b">
        <v>1</v>
      </c>
      <c r="F8">
        <v>35</v>
      </c>
      <c r="G8">
        <v>115</v>
      </c>
      <c r="H8">
        <v>0</v>
      </c>
      <c r="I8">
        <v>40</v>
      </c>
      <c r="J8">
        <v>75</v>
      </c>
      <c r="K8">
        <v>50</v>
      </c>
      <c r="L8">
        <v>80</v>
      </c>
      <c r="M8">
        <v>100</v>
      </c>
      <c r="N8">
        <v>65</v>
      </c>
      <c r="O8">
        <v>12</v>
      </c>
      <c r="P8">
        <v>18</v>
      </c>
      <c r="Q8">
        <v>7</v>
      </c>
      <c r="R8">
        <v>30</v>
      </c>
      <c r="S8">
        <v>0</v>
      </c>
      <c r="T8">
        <v>3</v>
      </c>
      <c r="U8">
        <v>1</v>
      </c>
      <c r="V8">
        <v>5</v>
      </c>
      <c r="W8" t="s">
        <v>33</v>
      </c>
      <c r="X8">
        <f>INDEX(Caliber!B26:'Caliber'!C33,MATCH(W8,Caliber!B26:'Caliber'!B33,0),2)</f>
        <v>18</v>
      </c>
      <c r="Y8">
        <f>INDEX(Caliber!B26:'Caliber'!D33,MATCH(W8,Caliber!B26:'Caliber'!B33,0),3)</f>
        <v>10</v>
      </c>
      <c r="Z8">
        <f>INDEX(Caliber!B26:'Caliber'!F33,MATCH(W8,Caliber!B26:'Caliber'!B33,0),5)</f>
        <v>0</v>
      </c>
      <c r="AA8" t="s">
        <v>184</v>
      </c>
      <c r="AB8" t="s">
        <v>185</v>
      </c>
    </row>
    <row r="9" spans="1:28" x14ac:dyDescent="0.25">
      <c r="A9" t="s">
        <v>187</v>
      </c>
      <c r="B9">
        <v>42</v>
      </c>
      <c r="C9" t="s">
        <v>90</v>
      </c>
      <c r="D9">
        <v>32000</v>
      </c>
      <c r="E9" t="b">
        <v>1</v>
      </c>
      <c r="F9">
        <v>35</v>
      </c>
      <c r="G9">
        <v>115</v>
      </c>
      <c r="H9">
        <v>0</v>
      </c>
      <c r="I9">
        <v>30</v>
      </c>
      <c r="J9">
        <v>65</v>
      </c>
      <c r="K9">
        <v>50</v>
      </c>
      <c r="L9">
        <v>60</v>
      </c>
      <c r="M9">
        <v>80</v>
      </c>
      <c r="N9">
        <v>50</v>
      </c>
      <c r="O9">
        <v>10</v>
      </c>
      <c r="P9">
        <v>14</v>
      </c>
      <c r="Q9">
        <v>4</v>
      </c>
      <c r="R9">
        <v>30</v>
      </c>
      <c r="S9">
        <v>0</v>
      </c>
      <c r="T9">
        <v>3</v>
      </c>
      <c r="U9">
        <v>1</v>
      </c>
      <c r="V9">
        <v>5</v>
      </c>
      <c r="W9" t="s">
        <v>33</v>
      </c>
      <c r="X9">
        <f>INDEX(Caliber!B26:'Caliber'!C33,MATCH(W9,Caliber!B26:'Caliber'!B33,0),2)</f>
        <v>18</v>
      </c>
      <c r="Y9">
        <f>INDEX(Caliber!B26:'Caliber'!D33,MATCH(W9,Caliber!B26:'Caliber'!B33,0),3)</f>
        <v>10</v>
      </c>
      <c r="Z9">
        <f>INDEX(Caliber!B26:'Caliber'!F33,MATCH(W9,Caliber!B26:'Caliber'!B33,0),5)</f>
        <v>0</v>
      </c>
      <c r="AA9" t="s">
        <v>184</v>
      </c>
      <c r="AB9" t="s">
        <v>185</v>
      </c>
    </row>
    <row r="10" spans="1:28" x14ac:dyDescent="0.25">
      <c r="A10" t="s">
        <v>188</v>
      </c>
      <c r="B10">
        <v>28</v>
      </c>
      <c r="C10" t="s">
        <v>90</v>
      </c>
      <c r="D10">
        <v>43000</v>
      </c>
      <c r="E10" t="b">
        <v>1</v>
      </c>
      <c r="F10">
        <v>35</v>
      </c>
      <c r="G10">
        <v>115</v>
      </c>
      <c r="H10">
        <v>0</v>
      </c>
      <c r="I10">
        <v>25</v>
      </c>
      <c r="J10">
        <v>65</v>
      </c>
      <c r="K10">
        <v>45</v>
      </c>
      <c r="L10">
        <v>70</v>
      </c>
      <c r="M10">
        <v>90</v>
      </c>
      <c r="N10">
        <v>35</v>
      </c>
      <c r="O10">
        <v>9</v>
      </c>
      <c r="P10">
        <v>13</v>
      </c>
      <c r="Q10">
        <v>6</v>
      </c>
      <c r="R10">
        <v>30</v>
      </c>
      <c r="S10">
        <v>0</v>
      </c>
      <c r="T10">
        <v>3</v>
      </c>
      <c r="U10">
        <v>1</v>
      </c>
      <c r="V10">
        <v>5</v>
      </c>
      <c r="W10" t="s">
        <v>33</v>
      </c>
      <c r="X10">
        <f>INDEX(Caliber!B26:'Caliber'!C33,MATCH(W10,Caliber!B26:'Caliber'!B33,0),2)</f>
        <v>18</v>
      </c>
      <c r="Y10">
        <f>INDEX(Caliber!B26:'Caliber'!D33,MATCH(W10,Caliber!B26:'Caliber'!B33,0),3)</f>
        <v>10</v>
      </c>
      <c r="Z10">
        <f>INDEX(Caliber!B26:'Caliber'!F33,MATCH(W10,Caliber!B26:'Caliber'!B33,0),5)</f>
        <v>0</v>
      </c>
      <c r="AA10" t="s">
        <v>184</v>
      </c>
      <c r="AB10" t="s">
        <v>185</v>
      </c>
    </row>
    <row r="11" spans="1:28" x14ac:dyDescent="0.25">
      <c r="A11" t="s">
        <v>443</v>
      </c>
      <c r="B11">
        <v>24</v>
      </c>
      <c r="C11" t="s">
        <v>90</v>
      </c>
      <c r="D11">
        <v>21000</v>
      </c>
      <c r="E11" t="b">
        <v>1</v>
      </c>
      <c r="F11" t="s">
        <v>76</v>
      </c>
      <c r="G11">
        <v>115</v>
      </c>
      <c r="H11">
        <v>30</v>
      </c>
      <c r="I11">
        <v>80</v>
      </c>
      <c r="J11">
        <v>45</v>
      </c>
      <c r="K11" t="s">
        <v>76</v>
      </c>
      <c r="L11">
        <v>115</v>
      </c>
      <c r="M11">
        <v>80</v>
      </c>
      <c r="N11" t="s">
        <v>76</v>
      </c>
      <c r="O11">
        <v>20</v>
      </c>
      <c r="P11">
        <v>12</v>
      </c>
      <c r="Q11" t="s">
        <v>76</v>
      </c>
      <c r="R11">
        <v>35</v>
      </c>
      <c r="S11">
        <v>0</v>
      </c>
      <c r="T11">
        <v>1</v>
      </c>
      <c r="U11">
        <v>1</v>
      </c>
      <c r="V11" t="s">
        <v>76</v>
      </c>
      <c r="W11" t="s">
        <v>33</v>
      </c>
      <c r="X11" cm="1">
        <f t="array" aca="1" ref="X11" ca="1">INDEX(Caliber!B26:'Caliber'!C33,MATCH(INDIRECT(ADDRESS(ROW(),COLUMN()-1)),Caliber!B26:'Caliber'!B33,0),2)</f>
        <v>18</v>
      </c>
      <c r="Y11" cm="1">
        <f t="array" aca="1" ref="Y11" ca="1">INDEX(Caliber!B26:'Caliber'!D33,MATCH(INDIRECT(ADDRESS(ROW(),COLUMN()-2)),Caliber!B26:'Caliber'!B33,0),3)</f>
        <v>10</v>
      </c>
      <c r="Z11" cm="1">
        <f t="array" aca="1" ref="Z11" ca="1">INDEX(Caliber!B26:'Caliber'!F33,MATCH(INDIRECT(ADDRESS(ROW(),COLUMN()-3)),Caliber!B26:'Caliber'!B33,0),5)</f>
        <v>0</v>
      </c>
      <c r="AA11" t="s">
        <v>178</v>
      </c>
      <c r="AB11" t="s">
        <v>450</v>
      </c>
    </row>
    <row r="12" spans="1:28" x14ac:dyDescent="0.25">
      <c r="A12" t="s">
        <v>582</v>
      </c>
      <c r="B12">
        <v>8</v>
      </c>
      <c r="C12" t="s">
        <v>75</v>
      </c>
      <c r="D12">
        <v>18000</v>
      </c>
      <c r="E12" t="b">
        <v>1</v>
      </c>
      <c r="F12" t="s">
        <v>76</v>
      </c>
      <c r="G12">
        <v>115</v>
      </c>
      <c r="H12">
        <v>0</v>
      </c>
      <c r="I12" t="s">
        <v>76</v>
      </c>
      <c r="J12">
        <v>30</v>
      </c>
      <c r="K12" t="s">
        <v>76</v>
      </c>
      <c r="L12" t="s">
        <v>76</v>
      </c>
      <c r="M12">
        <v>50</v>
      </c>
      <c r="N12" t="s">
        <v>76</v>
      </c>
      <c r="O12" t="s">
        <v>76</v>
      </c>
      <c r="P12">
        <v>7</v>
      </c>
      <c r="Q12" t="s">
        <v>76</v>
      </c>
      <c r="R12">
        <v>30</v>
      </c>
      <c r="S12">
        <v>0</v>
      </c>
      <c r="T12" t="s">
        <v>76</v>
      </c>
      <c r="U12">
        <v>1</v>
      </c>
      <c r="V12" t="s">
        <v>76</v>
      </c>
      <c r="W12" t="s">
        <v>33</v>
      </c>
      <c r="X12" cm="1">
        <f t="array" aca="1" ref="X12" ca="1">INDEX(Caliber!B26:'Caliber'!C33,MATCH(INDIRECT(ADDRESS(ROW(),COLUMN()-1)),Caliber!B26:'Caliber'!B33,0),2)</f>
        <v>18</v>
      </c>
      <c r="Y12" cm="1">
        <f t="array" aca="1" ref="Y12" ca="1">INDEX(Caliber!B26:'Caliber'!D33,MATCH(INDIRECT(ADDRESS(ROW(),COLUMN()-2)),Caliber!B26:'Caliber'!B33,0),3)</f>
        <v>10</v>
      </c>
      <c r="Z12" cm="1">
        <f t="array" aca="1" ref="Z12" ca="1">INDEX(Caliber!B26:'Caliber'!F33,MATCH(INDIRECT(ADDRESS(ROW(),COLUMN()-3)),Caliber!B26:'Caliber'!B33,0),5)</f>
        <v>0</v>
      </c>
      <c r="AA12" t="s">
        <v>160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531B-7BBB-4DD3-8835-99962592A6C6}">
  <dimension ref="A1:AB15"/>
  <sheetViews>
    <sheetView workbookViewId="0">
      <pane xSplit="1" topLeftCell="B1" activePane="topRight" state="frozen"/>
      <selection pane="topRight" activeCell="V19" sqref="V19"/>
    </sheetView>
  </sheetViews>
  <sheetFormatPr defaultRowHeight="15" x14ac:dyDescent="0.25"/>
  <cols>
    <col min="1" max="1" width="13.28515625" customWidth="1"/>
    <col min="2" max="2" width="9.28515625" customWidth="1"/>
    <col min="3" max="3" width="6.5703125" customWidth="1"/>
    <col min="4" max="4" width="7" customWidth="1"/>
    <col min="5" max="5" width="13.7109375" customWidth="1"/>
    <col min="6" max="6" width="18.140625" customWidth="1"/>
    <col min="7" max="7" width="16.140625" customWidth="1"/>
    <col min="8" max="8" width="14" customWidth="1"/>
    <col min="9" max="9" width="10.85546875" customWidth="1"/>
    <col min="10" max="11" width="9.28515625" customWidth="1"/>
    <col min="12" max="12" width="11.7109375" customWidth="1"/>
    <col min="13" max="14" width="10.140625" customWidth="1"/>
    <col min="15" max="15" width="14" customWidth="1"/>
    <col min="16" max="17" width="12.42578125" customWidth="1"/>
    <col min="18" max="18" width="12.28515625" customWidth="1"/>
    <col min="19" max="19" width="12" customWidth="1"/>
    <col min="20" max="20" width="17.28515625" customWidth="1"/>
    <col min="21" max="21" width="12.42578125" customWidth="1"/>
    <col min="22" max="22" width="12.28515625" customWidth="1"/>
    <col min="23" max="23" width="18.5703125" customWidth="1"/>
    <col min="25" max="25" width="13.5703125" customWidth="1"/>
    <col min="26" max="26" width="11.7109375" customWidth="1"/>
  </cols>
  <sheetData>
    <row r="1" spans="1:28" x14ac:dyDescent="0.25">
      <c r="A1" s="19" t="s">
        <v>0</v>
      </c>
      <c r="B1" s="19" t="s">
        <v>58</v>
      </c>
      <c r="C1" s="19" t="s">
        <v>59</v>
      </c>
      <c r="D1" s="19" t="s">
        <v>74</v>
      </c>
      <c r="E1" s="19" t="s">
        <v>60</v>
      </c>
      <c r="F1" s="19" t="s">
        <v>149</v>
      </c>
      <c r="G1" s="19" t="s">
        <v>61</v>
      </c>
      <c r="H1" s="19" t="s">
        <v>150</v>
      </c>
      <c r="I1" s="19" t="s">
        <v>63</v>
      </c>
      <c r="J1" s="19" t="s">
        <v>64</v>
      </c>
      <c r="K1" s="19" t="s">
        <v>65</v>
      </c>
      <c r="L1" s="19" t="s">
        <v>66</v>
      </c>
      <c r="M1" s="19" t="s">
        <v>67</v>
      </c>
      <c r="N1" s="19" t="s">
        <v>68</v>
      </c>
      <c r="O1" s="19" t="s">
        <v>69</v>
      </c>
      <c r="P1" s="19" t="s">
        <v>70</v>
      </c>
      <c r="Q1" s="19" t="s">
        <v>71</v>
      </c>
      <c r="R1" s="19" t="s">
        <v>72</v>
      </c>
      <c r="S1" s="19" t="s">
        <v>73</v>
      </c>
      <c r="T1" s="19" t="s">
        <v>571</v>
      </c>
      <c r="U1" s="19" t="s">
        <v>86</v>
      </c>
      <c r="V1" s="19" t="s">
        <v>87</v>
      </c>
      <c r="W1" s="19" t="s">
        <v>88</v>
      </c>
      <c r="X1" s="19" t="s">
        <v>80</v>
      </c>
      <c r="Y1" s="19" t="s">
        <v>2</v>
      </c>
      <c r="Z1" s="19" t="s">
        <v>81</v>
      </c>
      <c r="AA1" s="19" t="s">
        <v>78</v>
      </c>
      <c r="AB1" s="19" t="s">
        <v>21</v>
      </c>
    </row>
    <row r="2" spans="1:28" x14ac:dyDescent="0.25">
      <c r="A2" t="s">
        <v>211</v>
      </c>
      <c r="B2">
        <v>65</v>
      </c>
      <c r="C2" t="s">
        <v>212</v>
      </c>
      <c r="D2" t="s">
        <v>76</v>
      </c>
      <c r="E2" t="b">
        <v>1</v>
      </c>
      <c r="F2" t="b">
        <v>1</v>
      </c>
      <c r="G2" t="s">
        <v>76</v>
      </c>
      <c r="H2">
        <v>145</v>
      </c>
      <c r="I2" t="s">
        <v>76</v>
      </c>
      <c r="J2">
        <v>50</v>
      </c>
      <c r="K2">
        <v>75</v>
      </c>
      <c r="L2" t="s">
        <v>76</v>
      </c>
      <c r="M2">
        <v>45</v>
      </c>
      <c r="N2">
        <v>20</v>
      </c>
      <c r="O2" t="s">
        <v>76</v>
      </c>
      <c r="P2">
        <v>28</v>
      </c>
      <c r="Q2">
        <v>14</v>
      </c>
      <c r="R2">
        <v>200</v>
      </c>
      <c r="S2">
        <v>5</v>
      </c>
      <c r="T2">
        <v>85</v>
      </c>
      <c r="U2" t="s">
        <v>76</v>
      </c>
      <c r="V2">
        <v>5</v>
      </c>
      <c r="W2">
        <v>15</v>
      </c>
      <c r="X2" t="s">
        <v>26</v>
      </c>
      <c r="Y2" cm="1">
        <f t="array" aca="1" ref="Y2" ca="1">INDEX(Caliber!B13:'Caliber'!C23,MATCH(INDIRECT(ADDRESS(ROW(),COLUMN()-1)),Caliber!B13:'Caliber'!B23,0),2)</f>
        <v>45</v>
      </c>
      <c r="Z2" cm="1">
        <f t="array" aca="1" ref="Z2" ca="1">INDEX(Caliber!C13:'Caliber'!D23,MATCH(INDIRECT(ADDRESS(ROW(),COLUMN()-2)),Caliber!B13:'Caliber'!B23,0),2)</f>
        <v>0.6</v>
      </c>
      <c r="AA2" t="s">
        <v>213</v>
      </c>
    </row>
    <row r="3" spans="1:28" x14ac:dyDescent="0.25">
      <c r="A3" t="s">
        <v>215</v>
      </c>
      <c r="B3">
        <v>56</v>
      </c>
      <c r="C3" t="s">
        <v>212</v>
      </c>
      <c r="D3" t="s">
        <v>76</v>
      </c>
      <c r="E3" t="b">
        <v>1</v>
      </c>
      <c r="F3" t="b">
        <v>1</v>
      </c>
      <c r="G3" t="s">
        <v>76</v>
      </c>
      <c r="H3">
        <v>145</v>
      </c>
      <c r="I3" t="s">
        <v>76</v>
      </c>
      <c r="J3">
        <v>48</v>
      </c>
      <c r="K3">
        <v>70</v>
      </c>
      <c r="L3" t="s">
        <v>76</v>
      </c>
      <c r="M3">
        <v>55</v>
      </c>
      <c r="N3">
        <v>32</v>
      </c>
      <c r="O3" t="s">
        <v>76</v>
      </c>
      <c r="P3">
        <v>30</v>
      </c>
      <c r="Q3">
        <v>15</v>
      </c>
      <c r="R3">
        <v>200</v>
      </c>
      <c r="S3">
        <v>5</v>
      </c>
      <c r="T3">
        <v>85</v>
      </c>
      <c r="U3" t="s">
        <v>76</v>
      </c>
      <c r="V3">
        <v>5</v>
      </c>
      <c r="W3">
        <v>15</v>
      </c>
      <c r="X3" t="s">
        <v>120</v>
      </c>
      <c r="Y3" cm="1">
        <f t="array" aca="1" ref="Y3" ca="1">INDEX(Caliber!B13:'Caliber'!C23,MATCH(INDIRECT(ADDRESS(ROW(),COLUMN()-1)),Caliber!B13:'Caliber'!B23,0),2)</f>
        <v>37</v>
      </c>
      <c r="Z3" cm="1">
        <f t="array" aca="1" ref="Z3" ca="1">INDEX(Caliber!C13:'Caliber'!D23,MATCH(INDIRECT(ADDRESS(ROW(),COLUMN()-2)),Caliber!B13:'Caliber'!B23,0),2)</f>
        <v>0.4</v>
      </c>
      <c r="AA3" t="s">
        <v>214</v>
      </c>
    </row>
    <row r="4" spans="1:28" x14ac:dyDescent="0.25">
      <c r="A4" t="s">
        <v>220</v>
      </c>
      <c r="B4">
        <v>59</v>
      </c>
      <c r="C4" t="s">
        <v>212</v>
      </c>
      <c r="D4">
        <v>56500</v>
      </c>
      <c r="E4" t="b">
        <v>1</v>
      </c>
      <c r="F4" t="b">
        <v>1</v>
      </c>
      <c r="G4" t="s">
        <v>76</v>
      </c>
      <c r="H4">
        <v>145</v>
      </c>
      <c r="I4" t="s">
        <v>76</v>
      </c>
      <c r="J4">
        <v>55</v>
      </c>
      <c r="K4">
        <v>80</v>
      </c>
      <c r="L4" t="s">
        <v>76</v>
      </c>
      <c r="M4">
        <v>50</v>
      </c>
      <c r="N4">
        <v>20</v>
      </c>
      <c r="O4" t="s">
        <v>76</v>
      </c>
      <c r="P4">
        <v>40</v>
      </c>
      <c r="Q4">
        <v>20</v>
      </c>
      <c r="R4">
        <v>200</v>
      </c>
      <c r="S4">
        <v>5</v>
      </c>
      <c r="T4">
        <v>85</v>
      </c>
      <c r="U4" t="s">
        <v>76</v>
      </c>
      <c r="V4">
        <v>5</v>
      </c>
      <c r="W4">
        <v>15</v>
      </c>
      <c r="X4" t="s">
        <v>221</v>
      </c>
      <c r="Y4" cm="1">
        <f t="array" aca="1" ref="Y4" ca="1">INDEX(Caliber!B13:'Caliber'!C23,MATCH(INDIRECT(ADDRESS(ROW(),COLUMN()-1)),Caliber!B13:'Caliber'!B23,0),2)</f>
        <v>49</v>
      </c>
      <c r="Z4" cm="1">
        <f t="array" aca="1" ref="Z4" ca="1">INDEX(Caliber!C13:'Caliber'!D23,MATCH(INDIRECT(ADDRESS(ROW(),COLUMN()-2)),Caliber!B13:'Caliber'!B23,0),2)</f>
        <v>0.7</v>
      </c>
      <c r="AA4" t="s">
        <v>213</v>
      </c>
    </row>
    <row r="5" spans="1:28" x14ac:dyDescent="0.25">
      <c r="A5" t="s">
        <v>217</v>
      </c>
      <c r="B5">
        <v>60</v>
      </c>
      <c r="C5" t="s">
        <v>212</v>
      </c>
      <c r="D5">
        <v>65000</v>
      </c>
      <c r="E5" t="b">
        <v>1</v>
      </c>
      <c r="F5" t="b">
        <v>1</v>
      </c>
      <c r="G5" t="s">
        <v>76</v>
      </c>
      <c r="H5">
        <v>145</v>
      </c>
      <c r="I5" t="s">
        <v>76</v>
      </c>
      <c r="J5">
        <v>50</v>
      </c>
      <c r="K5">
        <v>70</v>
      </c>
      <c r="L5" t="s">
        <v>76</v>
      </c>
      <c r="M5">
        <v>55</v>
      </c>
      <c r="N5">
        <v>25</v>
      </c>
      <c r="O5" t="s">
        <v>76</v>
      </c>
      <c r="P5">
        <v>35</v>
      </c>
      <c r="Q5">
        <v>18</v>
      </c>
      <c r="R5">
        <v>200</v>
      </c>
      <c r="S5">
        <v>5</v>
      </c>
      <c r="T5">
        <v>85</v>
      </c>
      <c r="U5" t="s">
        <v>76</v>
      </c>
      <c r="V5">
        <v>5</v>
      </c>
      <c r="W5">
        <v>15</v>
      </c>
      <c r="X5" t="s">
        <v>26</v>
      </c>
      <c r="Y5" cm="1">
        <f t="array" aca="1" ref="Y5" ca="1">INDEX(Caliber!B13:'Caliber'!C23,MATCH(INDIRECT(ADDRESS(ROW(),COLUMN()-1)),Caliber!B13:'Caliber'!B23,0),2)</f>
        <v>45</v>
      </c>
      <c r="Z5" cm="1">
        <f t="array" aca="1" ref="Z5" ca="1">INDEX(Caliber!C13:'Caliber'!D23,MATCH(INDIRECT(ADDRESS(ROW(),COLUMN()-2)),Caliber!B13:'Caliber'!B23,0),2)</f>
        <v>0.6</v>
      </c>
      <c r="AA5" t="s">
        <v>213</v>
      </c>
    </row>
    <row r="6" spans="1:28" x14ac:dyDescent="0.25">
      <c r="A6" t="s">
        <v>216</v>
      </c>
      <c r="B6">
        <v>52</v>
      </c>
      <c r="C6" t="s">
        <v>212</v>
      </c>
      <c r="D6">
        <v>53000</v>
      </c>
      <c r="E6" t="b">
        <v>1</v>
      </c>
      <c r="F6" t="b">
        <v>1</v>
      </c>
      <c r="G6" t="s">
        <v>76</v>
      </c>
      <c r="H6">
        <v>145</v>
      </c>
      <c r="I6" t="s">
        <v>76</v>
      </c>
      <c r="J6">
        <v>45</v>
      </c>
      <c r="K6">
        <v>70</v>
      </c>
      <c r="L6" t="s">
        <v>76</v>
      </c>
      <c r="M6">
        <v>60</v>
      </c>
      <c r="N6">
        <v>30</v>
      </c>
      <c r="O6" t="s">
        <v>76</v>
      </c>
      <c r="P6">
        <v>30</v>
      </c>
      <c r="Q6">
        <v>15</v>
      </c>
      <c r="R6">
        <v>200</v>
      </c>
      <c r="S6">
        <v>5</v>
      </c>
      <c r="T6">
        <v>85</v>
      </c>
      <c r="U6" t="s">
        <v>76</v>
      </c>
      <c r="V6">
        <v>5</v>
      </c>
      <c r="W6">
        <v>15</v>
      </c>
      <c r="X6" t="s">
        <v>120</v>
      </c>
      <c r="Y6" cm="1">
        <f t="array" aca="1" ref="Y6" ca="1">INDEX(Caliber!B13:'Caliber'!C23,MATCH(INDIRECT(ADDRESS(ROW(),COLUMN()-1)),Caliber!B13:'Caliber'!B23,0),2)</f>
        <v>37</v>
      </c>
      <c r="Z6" cm="1">
        <f t="array" aca="1" ref="Z6" ca="1">INDEX(Caliber!C13:'Caliber'!D23,MATCH(INDIRECT(ADDRESS(ROW(),COLUMN()-2)),Caliber!B13:'Caliber'!B23,0),2)</f>
        <v>0.4</v>
      </c>
      <c r="AA6" t="s">
        <v>214</v>
      </c>
    </row>
    <row r="7" spans="1:28" x14ac:dyDescent="0.25">
      <c r="A7" t="s">
        <v>222</v>
      </c>
      <c r="B7">
        <v>49</v>
      </c>
      <c r="C7" t="s">
        <v>212</v>
      </c>
      <c r="D7">
        <v>55000</v>
      </c>
      <c r="E7" t="b">
        <v>1</v>
      </c>
      <c r="F7" t="b">
        <v>1</v>
      </c>
      <c r="G7" t="s">
        <v>76</v>
      </c>
      <c r="H7">
        <v>145</v>
      </c>
      <c r="I7" t="s">
        <v>76</v>
      </c>
      <c r="J7">
        <v>40</v>
      </c>
      <c r="K7">
        <v>70</v>
      </c>
      <c r="L7" t="s">
        <v>76</v>
      </c>
      <c r="M7">
        <v>65</v>
      </c>
      <c r="N7">
        <v>28</v>
      </c>
      <c r="O7" t="s">
        <v>76</v>
      </c>
      <c r="P7">
        <v>30</v>
      </c>
      <c r="Q7">
        <v>15</v>
      </c>
      <c r="R7">
        <v>200</v>
      </c>
      <c r="S7">
        <v>5</v>
      </c>
      <c r="T7">
        <v>85</v>
      </c>
      <c r="U7" t="s">
        <v>76</v>
      </c>
      <c r="V7">
        <v>5</v>
      </c>
      <c r="W7">
        <v>15</v>
      </c>
      <c r="X7" t="s">
        <v>120</v>
      </c>
      <c r="Y7" cm="1">
        <f t="array" aca="1" ref="Y7" ca="1">INDEX(Caliber!B13:'Caliber'!C23,MATCH(INDIRECT(ADDRESS(ROW(),COLUMN()-1)),Caliber!B13:'Caliber'!B23,0),2)</f>
        <v>37</v>
      </c>
      <c r="Z7" cm="1">
        <f t="array" aca="1" ref="Z7" ca="1">INDEX(Caliber!C13:'Caliber'!D23,MATCH(INDIRECT(ADDRESS(ROW(),COLUMN()-2)),Caliber!B13:'Caliber'!B23,0),2)</f>
        <v>0.4</v>
      </c>
      <c r="AA7" t="s">
        <v>213</v>
      </c>
    </row>
    <row r="8" spans="1:28" x14ac:dyDescent="0.25">
      <c r="A8" t="s">
        <v>218</v>
      </c>
      <c r="B8">
        <v>38</v>
      </c>
      <c r="C8" t="s">
        <v>212</v>
      </c>
      <c r="D8">
        <v>49000</v>
      </c>
      <c r="E8" t="b">
        <v>1</v>
      </c>
      <c r="F8" t="b">
        <v>1</v>
      </c>
      <c r="G8" t="s">
        <v>76</v>
      </c>
      <c r="H8">
        <v>145</v>
      </c>
      <c r="I8" t="s">
        <v>76</v>
      </c>
      <c r="J8">
        <v>55</v>
      </c>
      <c r="K8">
        <v>75</v>
      </c>
      <c r="L8" t="s">
        <v>76</v>
      </c>
      <c r="M8">
        <v>65</v>
      </c>
      <c r="N8">
        <v>35</v>
      </c>
      <c r="O8" t="s">
        <v>76</v>
      </c>
      <c r="P8">
        <v>30</v>
      </c>
      <c r="Q8">
        <v>15</v>
      </c>
      <c r="R8">
        <v>200</v>
      </c>
      <c r="S8">
        <v>5</v>
      </c>
      <c r="T8">
        <v>85</v>
      </c>
      <c r="U8" t="s">
        <v>76</v>
      </c>
      <c r="V8">
        <v>5</v>
      </c>
      <c r="W8">
        <v>15</v>
      </c>
      <c r="X8" t="s">
        <v>19</v>
      </c>
      <c r="Y8" cm="1">
        <f t="array" aca="1" ref="Y8" ca="1">INDEX(Caliber!B13:'Caliber'!C23,MATCH(INDIRECT(ADDRESS(ROW(),COLUMN()-1)),Caliber!B13:'Caliber'!B23,0),2)</f>
        <v>36</v>
      </c>
      <c r="Z8" cm="1">
        <f t="array" aca="1" ref="Z8" ca="1">INDEX(Caliber!C13:'Caliber'!D23,MATCH(INDIRECT(ADDRESS(ROW(),COLUMN()-2)),Caliber!B13:'Caliber'!B23,0),2)</f>
        <v>0.3</v>
      </c>
      <c r="AA8" t="s">
        <v>219</v>
      </c>
    </row>
    <row r="9" spans="1:28" x14ac:dyDescent="0.25">
      <c r="A9" t="s">
        <v>441</v>
      </c>
      <c r="B9">
        <v>24</v>
      </c>
      <c r="C9" t="s">
        <v>226</v>
      </c>
      <c r="D9" t="s">
        <v>76</v>
      </c>
      <c r="E9" t="b">
        <v>1</v>
      </c>
      <c r="F9" t="b">
        <v>0</v>
      </c>
      <c r="G9">
        <v>80</v>
      </c>
      <c r="H9">
        <v>145</v>
      </c>
      <c r="I9">
        <v>35</v>
      </c>
      <c r="J9">
        <v>40</v>
      </c>
      <c r="K9">
        <v>70</v>
      </c>
      <c r="L9">
        <v>60</v>
      </c>
      <c r="M9">
        <v>45</v>
      </c>
      <c r="N9">
        <v>35</v>
      </c>
      <c r="O9">
        <v>30</v>
      </c>
      <c r="P9">
        <v>10</v>
      </c>
      <c r="Q9">
        <v>10</v>
      </c>
      <c r="R9">
        <v>40</v>
      </c>
      <c r="S9">
        <v>4</v>
      </c>
      <c r="T9">
        <v>85</v>
      </c>
      <c r="U9">
        <v>2</v>
      </c>
      <c r="V9">
        <v>5</v>
      </c>
      <c r="W9">
        <v>15</v>
      </c>
      <c r="X9" t="s">
        <v>439</v>
      </c>
      <c r="Y9" cm="1">
        <f t="array" aca="1" ref="Y9" ca="1">INDEX(Caliber!B2:'Caliber'!C11,MATCH(INDIRECT(ADDRESS(ROW(),COLUMN()-1)),Caliber!B2:'Caliber'!B11,0),2)</f>
        <v>30</v>
      </c>
      <c r="Z9" cm="1">
        <f t="array" aca="1" ref="Z9" ca="1">INDEX(Caliber!C2:'Caliber'!D11,MATCH(INDIRECT(ADDRESS(ROW(),COLUMN()-2)),Caliber!B2:'Caliber'!B11,0),2)</f>
        <v>0.35</v>
      </c>
      <c r="AA9" t="s">
        <v>440</v>
      </c>
    </row>
    <row r="10" spans="1:28" x14ac:dyDescent="0.25">
      <c r="A10" t="s">
        <v>552</v>
      </c>
      <c r="B10">
        <v>78</v>
      </c>
      <c r="C10" t="s">
        <v>212</v>
      </c>
      <c r="D10" t="s">
        <v>76</v>
      </c>
      <c r="E10" t="b">
        <v>1</v>
      </c>
      <c r="F10" t="b">
        <v>1</v>
      </c>
      <c r="G10" t="s">
        <v>76</v>
      </c>
      <c r="H10">
        <v>145</v>
      </c>
      <c r="I10" t="s">
        <v>76</v>
      </c>
      <c r="J10">
        <v>70</v>
      </c>
      <c r="K10">
        <v>80</v>
      </c>
      <c r="L10" t="s">
        <v>76</v>
      </c>
      <c r="M10">
        <v>60</v>
      </c>
      <c r="N10">
        <v>40</v>
      </c>
      <c r="O10" t="s">
        <v>76</v>
      </c>
      <c r="P10">
        <v>35</v>
      </c>
      <c r="Q10">
        <v>20</v>
      </c>
      <c r="R10">
        <v>200</v>
      </c>
      <c r="S10">
        <v>5</v>
      </c>
      <c r="T10">
        <v>85</v>
      </c>
      <c r="U10" t="s">
        <v>76</v>
      </c>
      <c r="V10">
        <v>5</v>
      </c>
      <c r="W10">
        <v>15</v>
      </c>
      <c r="X10" t="s">
        <v>26</v>
      </c>
      <c r="Y10" cm="1">
        <f t="array" aca="1" ref="Y10" ca="1">INDEX(Caliber!B13:'Caliber'!C23,MATCH(INDIRECT(ADDRESS(ROW(),COLUMN()-1)),Caliber!B13:'Caliber'!B23,0),2)</f>
        <v>45</v>
      </c>
      <c r="Z10" cm="1">
        <f t="array" aca="1" ref="Z10" ca="1">INDEX(Caliber!C13:'Caliber'!D23,MATCH(INDIRECT(ADDRESS(ROW(),COLUMN()-2)),Caliber!B13:'Caliber'!B23,0),2)</f>
        <v>0.6</v>
      </c>
      <c r="AA10" t="s">
        <v>213</v>
      </c>
    </row>
    <row r="11" spans="1:28" x14ac:dyDescent="0.25">
      <c r="A11" t="s">
        <v>556</v>
      </c>
      <c r="B11">
        <v>36</v>
      </c>
      <c r="C11" t="s">
        <v>90</v>
      </c>
      <c r="D11">
        <v>63000</v>
      </c>
      <c r="E11" t="b">
        <v>1</v>
      </c>
      <c r="F11" t="b">
        <v>1</v>
      </c>
      <c r="G11" t="s">
        <v>76</v>
      </c>
      <c r="H11">
        <v>145</v>
      </c>
      <c r="I11" t="s">
        <v>76</v>
      </c>
      <c r="J11">
        <v>60</v>
      </c>
      <c r="K11">
        <v>70</v>
      </c>
      <c r="L11" t="s">
        <v>76</v>
      </c>
      <c r="M11">
        <v>65</v>
      </c>
      <c r="N11">
        <v>40</v>
      </c>
      <c r="O11" t="s">
        <v>76</v>
      </c>
      <c r="P11">
        <v>40</v>
      </c>
      <c r="Q11">
        <v>20</v>
      </c>
      <c r="R11">
        <v>200</v>
      </c>
      <c r="S11">
        <v>5</v>
      </c>
      <c r="T11">
        <v>50</v>
      </c>
      <c r="U11" t="s">
        <v>76</v>
      </c>
      <c r="V11">
        <v>5</v>
      </c>
      <c r="W11">
        <v>15</v>
      </c>
      <c r="X11" t="s">
        <v>120</v>
      </c>
      <c r="Y11" cm="1">
        <f t="array" aca="1" ref="Y11" ca="1">INDEX(Caliber!B13:'Caliber'!C23,MATCH(INDIRECT(ADDRESS(ROW(),COLUMN()-1)),Caliber!B13:'Caliber'!B23,0),2)</f>
        <v>37</v>
      </c>
      <c r="Z11" cm="1">
        <f t="array" aca="1" ref="Z11" ca="1">INDEX(Caliber!C14:'Caliber'!D24,MATCH(INDIRECT(ADDRESS(ROW(),COLUMN()-2)),Caliber!B14:'Caliber'!B24,0),2)</f>
        <v>0.4</v>
      </c>
      <c r="AA11" t="s">
        <v>117</v>
      </c>
    </row>
    <row r="12" spans="1:28" x14ac:dyDescent="0.25">
      <c r="A12" t="s">
        <v>557</v>
      </c>
      <c r="B12">
        <v>39</v>
      </c>
      <c r="C12" t="s">
        <v>90</v>
      </c>
      <c r="D12">
        <v>80000</v>
      </c>
      <c r="E12" t="b">
        <v>1</v>
      </c>
      <c r="F12" t="b">
        <v>1</v>
      </c>
      <c r="G12" t="s">
        <v>76</v>
      </c>
      <c r="H12">
        <v>145</v>
      </c>
      <c r="I12" t="s">
        <v>76</v>
      </c>
      <c r="J12">
        <v>35</v>
      </c>
      <c r="K12">
        <v>60</v>
      </c>
      <c r="L12" t="s">
        <v>76</v>
      </c>
      <c r="M12">
        <v>40</v>
      </c>
      <c r="N12">
        <v>20</v>
      </c>
      <c r="O12" t="s">
        <v>76</v>
      </c>
      <c r="P12">
        <v>30</v>
      </c>
      <c r="Q12">
        <v>15</v>
      </c>
      <c r="R12">
        <v>200</v>
      </c>
      <c r="S12">
        <v>5</v>
      </c>
      <c r="T12">
        <v>85</v>
      </c>
      <c r="U12" t="s">
        <v>76</v>
      </c>
      <c r="V12">
        <v>5</v>
      </c>
      <c r="W12">
        <v>15</v>
      </c>
      <c r="X12" t="s">
        <v>120</v>
      </c>
      <c r="Y12" cm="1">
        <f t="array" aca="1" ref="Y12" ca="1">INDEX(Caliber!B13:'Caliber'!C23,MATCH(INDIRECT(ADDRESS(ROW(),COLUMN()-1)),Caliber!B13:'Caliber'!B23,0),2)</f>
        <v>37</v>
      </c>
      <c r="Z12" cm="1">
        <f t="array" aca="1" ref="Z12" ca="1">INDEX(Caliber!C14:'Caliber'!D24,MATCH(INDIRECT(ADDRESS(ROW(),COLUMN()-2)),Caliber!B14:'Caliber'!B24,0),2)</f>
        <v>0.4</v>
      </c>
      <c r="AA12" t="s">
        <v>440</v>
      </c>
    </row>
    <row r="13" spans="1:28" x14ac:dyDescent="0.25">
      <c r="A13" t="s">
        <v>558</v>
      </c>
      <c r="B13">
        <v>30</v>
      </c>
      <c r="C13" t="s">
        <v>90</v>
      </c>
      <c r="D13" t="s">
        <v>76</v>
      </c>
      <c r="E13" t="b">
        <v>1</v>
      </c>
      <c r="F13" t="b">
        <v>1</v>
      </c>
      <c r="G13" t="s">
        <v>76</v>
      </c>
      <c r="H13">
        <v>145</v>
      </c>
      <c r="I13" t="s">
        <v>76</v>
      </c>
      <c r="J13">
        <v>45</v>
      </c>
      <c r="K13">
        <v>65</v>
      </c>
      <c r="L13" t="s">
        <v>76</v>
      </c>
      <c r="M13">
        <v>45</v>
      </c>
      <c r="N13">
        <v>25</v>
      </c>
      <c r="O13" t="s">
        <v>76</v>
      </c>
      <c r="P13">
        <v>25</v>
      </c>
      <c r="Q13">
        <v>17</v>
      </c>
      <c r="R13">
        <v>200</v>
      </c>
      <c r="S13">
        <v>5</v>
      </c>
      <c r="T13">
        <v>85</v>
      </c>
      <c r="U13" t="s">
        <v>76</v>
      </c>
      <c r="V13">
        <v>5</v>
      </c>
      <c r="W13">
        <v>15</v>
      </c>
      <c r="X13" t="s">
        <v>120</v>
      </c>
      <c r="Y13" cm="1">
        <f t="array" aca="1" ref="Y13" ca="1">INDEX(Caliber!B13:'Caliber'!C23,MATCH(INDIRECT(ADDRESS(ROW(),COLUMN()-1)),Caliber!B13:'Caliber'!B23,0),2)</f>
        <v>37</v>
      </c>
      <c r="Z13" cm="1">
        <f t="array" aca="1" ref="Z13" ca="1">INDEX(Caliber!C14:'Caliber'!D24,MATCH(INDIRECT(ADDRESS(ROW(),COLUMN()-2)),Caliber!B14:'Caliber'!B24,0),2)</f>
        <v>0.4</v>
      </c>
      <c r="AA13" t="s">
        <v>440</v>
      </c>
    </row>
    <row r="14" spans="1:28" x14ac:dyDescent="0.25">
      <c r="A14" t="s">
        <v>559</v>
      </c>
      <c r="B14">
        <v>48</v>
      </c>
      <c r="C14" t="s">
        <v>212</v>
      </c>
      <c r="D14">
        <v>57000</v>
      </c>
      <c r="E14" t="b">
        <v>1</v>
      </c>
      <c r="F14" t="b">
        <v>1</v>
      </c>
      <c r="G14" t="s">
        <v>76</v>
      </c>
      <c r="H14">
        <v>145</v>
      </c>
      <c r="I14" t="s">
        <v>76</v>
      </c>
      <c r="J14">
        <v>55</v>
      </c>
      <c r="K14">
        <v>60</v>
      </c>
      <c r="L14" t="s">
        <v>76</v>
      </c>
      <c r="M14">
        <v>63</v>
      </c>
      <c r="N14">
        <v>35</v>
      </c>
      <c r="O14" t="s">
        <v>76</v>
      </c>
      <c r="P14">
        <v>30</v>
      </c>
      <c r="Q14">
        <v>20</v>
      </c>
      <c r="R14">
        <v>200</v>
      </c>
      <c r="S14">
        <v>5</v>
      </c>
      <c r="T14">
        <v>85</v>
      </c>
      <c r="U14" t="s">
        <v>76</v>
      </c>
      <c r="V14">
        <v>5</v>
      </c>
      <c r="W14">
        <v>15</v>
      </c>
      <c r="X14" t="s">
        <v>120</v>
      </c>
      <c r="Y14" cm="1">
        <f t="array" aca="1" ref="Y14" ca="1">INDEX(Caliber!B13:'Caliber'!C23,MATCH(INDIRECT(ADDRESS(ROW(),COLUMN()-1)),Caliber!B13:'Caliber'!B23,0),2)</f>
        <v>37</v>
      </c>
      <c r="Z14" cm="1">
        <f t="array" aca="1" ref="Z14" ca="1">INDEX(Caliber!C14:'Caliber'!D24,MATCH(INDIRECT(ADDRESS(ROW(),COLUMN()-2)),Caliber!B14:'Caliber'!B24,0),2)</f>
        <v>0.4</v>
      </c>
      <c r="AA14" t="s">
        <v>440</v>
      </c>
    </row>
    <row r="15" spans="1:28" x14ac:dyDescent="0.25">
      <c r="A15" t="s">
        <v>560</v>
      </c>
      <c r="B15">
        <v>47</v>
      </c>
      <c r="C15" t="s">
        <v>212</v>
      </c>
      <c r="D15">
        <v>60000</v>
      </c>
      <c r="E15" t="b">
        <v>1</v>
      </c>
      <c r="F15" t="b">
        <v>1</v>
      </c>
      <c r="G15" t="s">
        <v>76</v>
      </c>
      <c r="H15">
        <v>145</v>
      </c>
      <c r="I15" t="s">
        <v>76</v>
      </c>
      <c r="J15">
        <v>50</v>
      </c>
      <c r="K15">
        <v>75</v>
      </c>
      <c r="L15" t="s">
        <v>76</v>
      </c>
      <c r="M15">
        <v>50</v>
      </c>
      <c r="N15">
        <v>23</v>
      </c>
      <c r="O15" t="s">
        <v>76</v>
      </c>
      <c r="P15">
        <v>30</v>
      </c>
      <c r="Q15">
        <v>15</v>
      </c>
      <c r="R15">
        <v>200</v>
      </c>
      <c r="S15">
        <v>5</v>
      </c>
      <c r="T15">
        <v>85</v>
      </c>
      <c r="U15" t="s">
        <v>76</v>
      </c>
      <c r="V15">
        <v>5</v>
      </c>
      <c r="W15">
        <v>15</v>
      </c>
      <c r="X15" t="s">
        <v>26</v>
      </c>
      <c r="Y15" cm="1">
        <f t="array" aca="1" ref="Y15" ca="1">INDEX(Caliber!B13:'Caliber'!C23,MATCH(INDIRECT(ADDRESS(ROW(),COLUMN()-1)),Caliber!B13:'Caliber'!B23,0),2)</f>
        <v>45</v>
      </c>
      <c r="Z15" cm="1">
        <f t="array" aca="1" ref="Z15" ca="1">INDEX(Caliber!C14:'Caliber'!D24,MATCH(INDIRECT(ADDRESS(ROW(),COLUMN()-2)),Caliber!B14:'Caliber'!B24,0),2)</f>
        <v>0.6</v>
      </c>
      <c r="AA15" t="s">
        <v>213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364D-F43A-47E4-8B6C-A03FB84E628E}">
  <dimension ref="A1:AA16"/>
  <sheetViews>
    <sheetView workbookViewId="0">
      <pane xSplit="1" topLeftCell="B1" activePane="topRight" state="frozen"/>
      <selection pane="topRight" activeCell="AA11" sqref="AA11"/>
    </sheetView>
  </sheetViews>
  <sheetFormatPr defaultRowHeight="15" x14ac:dyDescent="0.25"/>
  <cols>
    <col min="1" max="1" width="10.42578125" customWidth="1"/>
    <col min="2" max="2" width="9.28515625" customWidth="1"/>
    <col min="5" max="5" width="13.7109375" customWidth="1"/>
    <col min="6" max="6" width="18.140625" customWidth="1"/>
    <col min="7" max="7" width="16.140625" customWidth="1"/>
    <col min="8" max="8" width="14" customWidth="1"/>
    <col min="9" max="9" width="10.85546875" customWidth="1"/>
    <col min="10" max="11" width="9.28515625" customWidth="1"/>
    <col min="12" max="12" width="11.7109375" customWidth="1"/>
    <col min="13" max="14" width="10.140625" customWidth="1"/>
    <col min="15" max="15" width="14" customWidth="1"/>
    <col min="16" max="17" width="12.42578125" customWidth="1"/>
    <col min="18" max="18" width="12.28515625" customWidth="1"/>
    <col min="19" max="19" width="12" customWidth="1"/>
    <col min="20" max="20" width="14.140625" customWidth="1"/>
    <col min="21" max="21" width="12.42578125" customWidth="1"/>
    <col min="22" max="22" width="12.28515625" customWidth="1"/>
    <col min="23" max="23" width="15.5703125" customWidth="1"/>
    <col min="25" max="25" width="13.5703125" customWidth="1"/>
    <col min="26" max="26" width="11.7109375" customWidth="1"/>
    <col min="27" max="27" width="17.85546875" customWidth="1"/>
  </cols>
  <sheetData>
    <row r="1" spans="1:27" x14ac:dyDescent="0.25">
      <c r="A1" s="19" t="s">
        <v>0</v>
      </c>
      <c r="B1" s="19" t="s">
        <v>58</v>
      </c>
      <c r="C1" s="19" t="s">
        <v>59</v>
      </c>
      <c r="D1" s="19" t="s">
        <v>74</v>
      </c>
      <c r="E1" s="19" t="s">
        <v>60</v>
      </c>
      <c r="F1" s="19" t="s">
        <v>149</v>
      </c>
      <c r="G1" s="19" t="s">
        <v>61</v>
      </c>
      <c r="H1" s="19" t="s">
        <v>150</v>
      </c>
      <c r="I1" s="19" t="s">
        <v>63</v>
      </c>
      <c r="J1" s="19" t="s">
        <v>64</v>
      </c>
      <c r="K1" s="19" t="s">
        <v>65</v>
      </c>
      <c r="L1" s="19" t="s">
        <v>66</v>
      </c>
      <c r="M1" s="19" t="s">
        <v>67</v>
      </c>
      <c r="N1" s="19" t="s">
        <v>68</v>
      </c>
      <c r="O1" s="19" t="s">
        <v>69</v>
      </c>
      <c r="P1" s="19" t="s">
        <v>70</v>
      </c>
      <c r="Q1" s="19" t="s">
        <v>71</v>
      </c>
      <c r="R1" s="19" t="s">
        <v>72</v>
      </c>
      <c r="S1" s="19" t="s">
        <v>73</v>
      </c>
      <c r="T1" s="19" t="s">
        <v>86</v>
      </c>
      <c r="U1" s="19" t="s">
        <v>87</v>
      </c>
      <c r="V1" s="19" t="s">
        <v>88</v>
      </c>
      <c r="W1" s="19" t="s">
        <v>80</v>
      </c>
      <c r="X1" s="19" t="s">
        <v>2</v>
      </c>
      <c r="Y1" s="19" t="s">
        <v>81</v>
      </c>
      <c r="Z1" s="19" t="s">
        <v>78</v>
      </c>
      <c r="AA1" s="19" t="s">
        <v>21</v>
      </c>
    </row>
    <row r="2" spans="1:27" x14ac:dyDescent="0.25">
      <c r="A2" t="s">
        <v>223</v>
      </c>
      <c r="B2">
        <v>12</v>
      </c>
      <c r="C2" t="s">
        <v>226</v>
      </c>
      <c r="D2">
        <v>19500</v>
      </c>
      <c r="E2" t="b">
        <v>1</v>
      </c>
      <c r="F2" t="b">
        <v>0</v>
      </c>
      <c r="G2">
        <v>80</v>
      </c>
      <c r="H2">
        <v>100</v>
      </c>
      <c r="I2">
        <v>70</v>
      </c>
      <c r="J2">
        <v>50</v>
      </c>
      <c r="K2" t="s">
        <v>76</v>
      </c>
      <c r="L2">
        <v>70</v>
      </c>
      <c r="M2">
        <v>50</v>
      </c>
      <c r="N2" t="s">
        <v>76</v>
      </c>
      <c r="O2">
        <v>25</v>
      </c>
      <c r="P2">
        <v>18</v>
      </c>
      <c r="Q2" t="s">
        <v>76</v>
      </c>
      <c r="R2">
        <v>30</v>
      </c>
      <c r="S2">
        <v>0</v>
      </c>
      <c r="T2">
        <v>1</v>
      </c>
      <c r="U2">
        <v>1</v>
      </c>
      <c r="V2" t="s">
        <v>76</v>
      </c>
      <c r="W2" t="s">
        <v>41</v>
      </c>
      <c r="X2" cm="1">
        <f t="array" aca="1" ref="X2" ca="1">INDEX(Caliber!B35:'Caliber'!C43,MATCH(INDIRECT(ADDRESS(ROW(),COLUMN()-1)),Caliber!B35:'Caliber'!B43,0),2)</f>
        <v>50</v>
      </c>
      <c r="Y2" cm="1">
        <f t="array" aca="1" ref="Y2" ca="1">INDEX(Caliber!C35:'Caliber'!D43,MATCH(INDIRECT(ADDRESS(ROW(),COLUMN()-2)),Caliber!B35:'Caliber'!B43,0),2)</f>
        <v>0.2</v>
      </c>
      <c r="Z2" t="s">
        <v>82</v>
      </c>
      <c r="AA2" t="s">
        <v>224</v>
      </c>
    </row>
    <row r="3" spans="1:27" x14ac:dyDescent="0.25">
      <c r="A3" t="s">
        <v>225</v>
      </c>
      <c r="B3">
        <v>52</v>
      </c>
      <c r="C3" t="s">
        <v>212</v>
      </c>
      <c r="D3">
        <v>61500</v>
      </c>
      <c r="E3" t="b">
        <v>1</v>
      </c>
      <c r="F3" t="b">
        <v>1</v>
      </c>
      <c r="G3" t="s">
        <v>76</v>
      </c>
      <c r="H3">
        <v>115</v>
      </c>
      <c r="I3">
        <v>65</v>
      </c>
      <c r="J3">
        <v>30</v>
      </c>
      <c r="K3" t="s">
        <v>76</v>
      </c>
      <c r="L3">
        <v>75</v>
      </c>
      <c r="M3">
        <v>40</v>
      </c>
      <c r="N3" t="s">
        <v>76</v>
      </c>
      <c r="O3">
        <v>30</v>
      </c>
      <c r="P3">
        <v>10</v>
      </c>
      <c r="Q3" t="s">
        <v>76</v>
      </c>
      <c r="R3">
        <v>45</v>
      </c>
      <c r="S3">
        <v>0</v>
      </c>
      <c r="T3">
        <v>1</v>
      </c>
      <c r="U3">
        <v>1</v>
      </c>
      <c r="V3" t="s">
        <v>76</v>
      </c>
      <c r="W3" t="s">
        <v>41</v>
      </c>
      <c r="X3" cm="1">
        <f t="array" aca="1" ref="X3" ca="1">INDEX(Caliber!B35:'Caliber'!C43,MATCH(INDIRECT(ADDRESS(ROW(),COLUMN()-1)),Caliber!B35:'Caliber'!B43,0),2)</f>
        <v>50</v>
      </c>
      <c r="Y3" cm="1">
        <f t="array" aca="1" ref="Y3" ca="1">INDEX(Caliber!C35:'Caliber'!D43,MATCH(INDIRECT(ADDRESS(ROW(),COLUMN()-2)),Caliber!B35:'Caliber'!B43,0),2)</f>
        <v>0.2</v>
      </c>
      <c r="Z3" t="s">
        <v>227</v>
      </c>
      <c r="AA3" t="s">
        <v>228</v>
      </c>
    </row>
    <row r="4" spans="1:27" x14ac:dyDescent="0.25">
      <c r="A4" t="s">
        <v>229</v>
      </c>
      <c r="B4">
        <v>36</v>
      </c>
      <c r="C4" t="s">
        <v>75</v>
      </c>
      <c r="D4">
        <v>38000</v>
      </c>
      <c r="E4" t="b">
        <v>1</v>
      </c>
      <c r="F4" t="b">
        <v>0</v>
      </c>
      <c r="G4">
        <v>80</v>
      </c>
      <c r="H4">
        <v>100</v>
      </c>
      <c r="I4">
        <v>79</v>
      </c>
      <c r="J4">
        <v>25</v>
      </c>
      <c r="K4" t="s">
        <v>76</v>
      </c>
      <c r="L4">
        <v>60</v>
      </c>
      <c r="M4">
        <v>45</v>
      </c>
      <c r="N4" t="s">
        <v>76</v>
      </c>
      <c r="O4">
        <v>79</v>
      </c>
      <c r="P4">
        <v>25</v>
      </c>
      <c r="Q4" t="s">
        <v>76</v>
      </c>
      <c r="R4">
        <v>30</v>
      </c>
      <c r="S4">
        <v>0</v>
      </c>
      <c r="T4">
        <v>1</v>
      </c>
      <c r="U4">
        <v>1</v>
      </c>
      <c r="V4" t="s">
        <v>76</v>
      </c>
      <c r="W4" t="s">
        <v>41</v>
      </c>
      <c r="X4" cm="1">
        <f t="array" aca="1" ref="X4" ca="1">INDEX(Caliber!B35:'Caliber'!C43,MATCH(INDIRECT(ADDRESS(ROW(),COLUMN()-1)),Caliber!B35:'Caliber'!B43,0),2)</f>
        <v>50</v>
      </c>
      <c r="Y4" cm="1">
        <f t="array" aca="1" ref="Y4" ca="1">INDEX(Caliber!C35:'Caliber'!D43,MATCH(INDIRECT(ADDRESS(ROW(),COLUMN()-2)),Caliber!B35:'Caliber'!B43,0),2)</f>
        <v>0.2</v>
      </c>
      <c r="Z4" t="s">
        <v>230</v>
      </c>
      <c r="AA4" t="s">
        <v>228</v>
      </c>
    </row>
    <row r="5" spans="1:27" x14ac:dyDescent="0.25">
      <c r="A5" t="s">
        <v>232</v>
      </c>
      <c r="B5">
        <v>65</v>
      </c>
      <c r="C5" t="s">
        <v>212</v>
      </c>
      <c r="D5">
        <v>87000</v>
      </c>
      <c r="E5" t="b">
        <v>1</v>
      </c>
      <c r="F5" t="b">
        <v>1</v>
      </c>
      <c r="G5" t="s">
        <v>76</v>
      </c>
      <c r="H5">
        <v>150</v>
      </c>
      <c r="I5">
        <v>80</v>
      </c>
      <c r="J5">
        <v>60</v>
      </c>
      <c r="K5" t="s">
        <v>76</v>
      </c>
      <c r="L5">
        <v>120</v>
      </c>
      <c r="M5">
        <v>60</v>
      </c>
      <c r="N5" t="s">
        <v>76</v>
      </c>
      <c r="O5">
        <v>15</v>
      </c>
      <c r="P5">
        <v>10</v>
      </c>
      <c r="Q5" t="s">
        <v>76</v>
      </c>
      <c r="R5">
        <v>200</v>
      </c>
      <c r="S5">
        <v>7</v>
      </c>
      <c r="T5">
        <v>1</v>
      </c>
      <c r="U5">
        <v>1</v>
      </c>
      <c r="V5" t="s">
        <v>76</v>
      </c>
      <c r="W5" t="s">
        <v>49</v>
      </c>
      <c r="X5" cm="1">
        <f t="array" aca="1" ref="X5" ca="1">INDEX(Caliber!B35:'Caliber'!C43,MATCH(INDIRECT(ADDRESS(ROW(),COLUMN()-1)),Caliber!B35:'Caliber'!B43,0),2)</f>
        <v>200</v>
      </c>
      <c r="Y5" cm="1">
        <f t="array" aca="1" ref="Y5" ca="1">INDEX(Caliber!C35:'Caliber'!D43,MATCH(INDIRECT(ADDRESS(ROW(),COLUMN()-2)),Caliber!B35:'Caliber'!B43,0),2)</f>
        <v>1</v>
      </c>
      <c r="Z5" t="s">
        <v>82</v>
      </c>
      <c r="AA5" t="s">
        <v>231</v>
      </c>
    </row>
    <row r="6" spans="1:27" x14ac:dyDescent="0.25">
      <c r="A6" t="s">
        <v>233</v>
      </c>
      <c r="B6">
        <v>58</v>
      </c>
      <c r="C6" t="s">
        <v>212</v>
      </c>
      <c r="D6" t="s">
        <v>76</v>
      </c>
      <c r="E6" t="b">
        <v>1</v>
      </c>
      <c r="F6" t="b">
        <v>1</v>
      </c>
      <c r="G6" t="s">
        <v>76</v>
      </c>
      <c r="H6">
        <v>150</v>
      </c>
      <c r="I6">
        <v>85</v>
      </c>
      <c r="J6">
        <v>65</v>
      </c>
      <c r="K6" t="s">
        <v>76</v>
      </c>
      <c r="L6">
        <v>100</v>
      </c>
      <c r="M6">
        <v>50</v>
      </c>
      <c r="N6" t="s">
        <v>76</v>
      </c>
      <c r="O6">
        <v>12</v>
      </c>
      <c r="P6">
        <v>8</v>
      </c>
      <c r="Q6" t="s">
        <v>76</v>
      </c>
      <c r="R6">
        <v>200</v>
      </c>
      <c r="S6">
        <v>7</v>
      </c>
      <c r="T6">
        <v>1</v>
      </c>
      <c r="U6">
        <v>1</v>
      </c>
      <c r="V6" t="s">
        <v>76</v>
      </c>
      <c r="W6" t="s">
        <v>51</v>
      </c>
      <c r="X6" cm="1">
        <f t="array" aca="1" ref="X6" ca="1">INDEX(Caliber!B35:'Caliber'!C43,MATCH(INDIRECT(ADDRESS(ROW(),COLUMN()-1)),Caliber!B35:'Caliber'!B43,0),2)</f>
        <v>150</v>
      </c>
      <c r="Y6" cm="1">
        <f t="array" aca="1" ref="Y6" ca="1">INDEX(Caliber!C35:'Caliber'!D43,MATCH(INDIRECT(ADDRESS(ROW(),COLUMN()-2)),Caliber!B35:'Caliber'!B43,0),2)</f>
        <v>1</v>
      </c>
      <c r="Z6" t="s">
        <v>82</v>
      </c>
      <c r="AA6" t="s">
        <v>231</v>
      </c>
    </row>
    <row r="7" spans="1:27" x14ac:dyDescent="0.25">
      <c r="A7" t="s">
        <v>234</v>
      </c>
      <c r="B7">
        <v>70</v>
      </c>
      <c r="C7" t="s">
        <v>90</v>
      </c>
      <c r="D7">
        <v>72000</v>
      </c>
      <c r="E7" t="b">
        <v>1</v>
      </c>
      <c r="F7" t="b">
        <v>1</v>
      </c>
      <c r="G7" t="s">
        <v>76</v>
      </c>
      <c r="H7">
        <v>150</v>
      </c>
      <c r="I7">
        <v>75</v>
      </c>
      <c r="J7">
        <v>60</v>
      </c>
      <c r="K7" t="s">
        <v>76</v>
      </c>
      <c r="L7">
        <v>110</v>
      </c>
      <c r="M7">
        <v>55</v>
      </c>
      <c r="N7" t="s">
        <v>76</v>
      </c>
      <c r="O7">
        <v>14</v>
      </c>
      <c r="P7">
        <v>8</v>
      </c>
      <c r="Q7" t="s">
        <v>76</v>
      </c>
      <c r="R7">
        <v>200</v>
      </c>
      <c r="S7">
        <v>7</v>
      </c>
      <c r="T7">
        <v>1</v>
      </c>
      <c r="U7">
        <v>1</v>
      </c>
      <c r="V7" t="s">
        <v>76</v>
      </c>
      <c r="W7" t="s">
        <v>52</v>
      </c>
      <c r="X7" cm="1">
        <f t="array" aca="1" ref="X7" ca="1">INDEX(Caliber!B35:'Caliber'!C43,MATCH(INDIRECT(ADDRESS(ROW(),COLUMN()-1)),Caliber!B35:'Caliber'!B43,0),2)</f>
        <v>190</v>
      </c>
      <c r="Y7" cm="1">
        <f t="array" aca="1" ref="Y7" ca="1">INDEX(Caliber!C35:'Caliber'!D43,MATCH(INDIRECT(ADDRESS(ROW(),COLUMN()-2)),Caliber!B35:'Caliber'!B43,0),2)</f>
        <v>1</v>
      </c>
      <c r="Z7" t="s">
        <v>82</v>
      </c>
      <c r="AA7" t="s">
        <v>235</v>
      </c>
    </row>
    <row r="8" spans="1:27" x14ac:dyDescent="0.25">
      <c r="A8" t="s">
        <v>519</v>
      </c>
      <c r="B8">
        <v>30</v>
      </c>
      <c r="C8" t="s">
        <v>90</v>
      </c>
      <c r="D8">
        <v>15000</v>
      </c>
      <c r="E8" t="b">
        <v>1</v>
      </c>
      <c r="F8" t="b">
        <v>1</v>
      </c>
      <c r="G8" t="s">
        <v>76</v>
      </c>
      <c r="H8">
        <v>150</v>
      </c>
      <c r="I8">
        <v>50</v>
      </c>
      <c r="J8">
        <v>30</v>
      </c>
      <c r="K8" t="s">
        <v>76</v>
      </c>
      <c r="L8">
        <v>100</v>
      </c>
      <c r="M8">
        <v>60</v>
      </c>
      <c r="N8" t="s">
        <v>76</v>
      </c>
      <c r="O8">
        <v>11</v>
      </c>
      <c r="P8">
        <v>7</v>
      </c>
      <c r="Q8" t="s">
        <v>76</v>
      </c>
      <c r="R8">
        <v>200</v>
      </c>
      <c r="S8">
        <v>7</v>
      </c>
      <c r="T8">
        <v>1</v>
      </c>
      <c r="U8">
        <v>1</v>
      </c>
      <c r="V8" t="s">
        <v>76</v>
      </c>
      <c r="W8" t="s">
        <v>519</v>
      </c>
      <c r="X8" cm="1">
        <f t="array" aca="1" ref="X8" ca="1">INDEX(Caliber!B35:'Caliber'!C45,MATCH(INDIRECT(ADDRESS(ROW(),COLUMN()-1)),Caliber!B35:'Caliber'!B45,0),2)</f>
        <v>95</v>
      </c>
      <c r="Y8" cm="1">
        <f t="array" aca="1" ref="Y8" ca="1">INDEX(Caliber!C35:'Caliber'!D45,MATCH(INDIRECT(ADDRESS(ROW(),COLUMN()-2)),Caliber!B35:'Caliber'!B45,0),2)</f>
        <v>0.75</v>
      </c>
      <c r="Z8" t="s">
        <v>82</v>
      </c>
      <c r="AA8" t="s">
        <v>526</v>
      </c>
    </row>
    <row r="9" spans="1:27" x14ac:dyDescent="0.25">
      <c r="X9" t="e" cm="1">
        <f t="array" aca="1" ref="X9" ca="1">INDEX(Caliber!B35:'Caliber'!C43,MATCH(INDIRECT(ADDRESS(ROW(),COLUMN()-1)),Caliber!B35:'Caliber'!B43,0),2)</f>
        <v>#N/A</v>
      </c>
      <c r="Y9" t="e" cm="1">
        <f t="array" aca="1" ref="Y9" ca="1">INDEX(Caliber!C35:'Caliber'!D43,MATCH(INDIRECT(ADDRESS(ROW(),COLUMN()-2)),Caliber!B35:'Caliber'!B43,0),2)</f>
        <v>#N/A</v>
      </c>
    </row>
    <row r="10" spans="1:27" x14ac:dyDescent="0.25">
      <c r="X10" t="e" cm="1">
        <f t="array" aca="1" ref="X10" ca="1">INDEX(Caliber!B35:'Caliber'!C43,MATCH(INDIRECT(ADDRESS(ROW(),COLUMN()-1)),Caliber!B35:'Caliber'!B43,0),2)</f>
        <v>#N/A</v>
      </c>
      <c r="Y10" t="e" cm="1">
        <f t="array" aca="1" ref="Y10" ca="1">INDEX(Caliber!C35:'Caliber'!D43,MATCH(INDIRECT(ADDRESS(ROW(),COLUMN()-2)),Caliber!B35:'Caliber'!B43,0),2)</f>
        <v>#N/A</v>
      </c>
    </row>
    <row r="11" spans="1:27" x14ac:dyDescent="0.25">
      <c r="X11" t="e" cm="1">
        <f t="array" aca="1" ref="X11" ca="1">INDEX(Caliber!B35:'Caliber'!C43,MATCH(INDIRECT(ADDRESS(ROW(),COLUMN()-1)),Caliber!B35:'Caliber'!B43,0),2)</f>
        <v>#N/A</v>
      </c>
      <c r="Y11" t="e" cm="1">
        <f t="array" aca="1" ref="Y11" ca="1">INDEX(Caliber!C35:'Caliber'!D43,MATCH(INDIRECT(ADDRESS(ROW(),COLUMN()-2)),Caliber!B35:'Caliber'!B43,0),2)</f>
        <v>#N/A</v>
      </c>
    </row>
    <row r="12" spans="1:27" x14ac:dyDescent="0.25">
      <c r="X12" t="e" cm="1">
        <f t="array" aca="1" ref="X12" ca="1">INDEX(Caliber!B35:'Caliber'!C43,MATCH(INDIRECT(ADDRESS(ROW(),COLUMN()-1)),Caliber!B35:'Caliber'!B43,0),2)</f>
        <v>#N/A</v>
      </c>
      <c r="Y12" t="e" cm="1">
        <f t="array" aca="1" ref="Y12" ca="1">INDEX(Caliber!C35:'Caliber'!D43,MATCH(INDIRECT(ADDRESS(ROW(),COLUMN()-2)),Caliber!B35:'Caliber'!B43,0),2)</f>
        <v>#N/A</v>
      </c>
    </row>
    <row r="13" spans="1:27" x14ac:dyDescent="0.25">
      <c r="X13" t="e" cm="1">
        <f t="array" aca="1" ref="X13" ca="1">INDEX(Caliber!B35:'Caliber'!C43,MATCH(INDIRECT(ADDRESS(ROW(),COLUMN()-1)),Caliber!B35:'Caliber'!B43,0),2)</f>
        <v>#N/A</v>
      </c>
      <c r="Y13" t="e" cm="1">
        <f t="array" aca="1" ref="Y13" ca="1">INDEX(Caliber!C35:'Caliber'!D43,MATCH(INDIRECT(ADDRESS(ROW(),COLUMN()-2)),Caliber!B35:'Caliber'!B43,0),2)</f>
        <v>#N/A</v>
      </c>
    </row>
    <row r="14" spans="1:27" x14ac:dyDescent="0.25">
      <c r="X14" t="e" cm="1">
        <f t="array" aca="1" ref="X14" ca="1">INDEX(Caliber!B35:'Caliber'!C43,MATCH(INDIRECT(ADDRESS(ROW(),COLUMN()-1)),Caliber!B35:'Caliber'!B43,0),2)</f>
        <v>#N/A</v>
      </c>
      <c r="Y14" t="e" cm="1">
        <f t="array" aca="1" ref="Y14" ca="1">INDEX(Caliber!C35:'Caliber'!D43,MATCH(INDIRECT(ADDRESS(ROW(),COLUMN()-2)),Caliber!B35:'Caliber'!B43,0),2)</f>
        <v>#N/A</v>
      </c>
    </row>
    <row r="15" spans="1:27" x14ac:dyDescent="0.25">
      <c r="X15" t="e" cm="1">
        <f t="array" aca="1" ref="X15" ca="1">INDEX(Caliber!B35:'Caliber'!C43,MATCH(INDIRECT(ADDRESS(ROW(),COLUMN()-1)),Caliber!B35:'Caliber'!B43,0),2)</f>
        <v>#N/A</v>
      </c>
      <c r="Y15" t="e" cm="1">
        <f t="array" aca="1" ref="Y15" ca="1">INDEX(Caliber!C35:'Caliber'!D43,MATCH(INDIRECT(ADDRESS(ROW(),COLUMN()-2)),Caliber!B35:'Caliber'!B43,0),2)</f>
        <v>#N/A</v>
      </c>
    </row>
    <row r="16" spans="1:27" x14ac:dyDescent="0.25">
      <c r="X16" t="e" cm="1">
        <f t="array" aca="1" ref="X16" ca="1">INDEX(Caliber!B35:'Caliber'!C43,MATCH(INDIRECT(ADDRESS(ROW(),COLUMN()-1)),Caliber!B35:'Caliber'!B43,0),2)</f>
        <v>#N/A</v>
      </c>
      <c r="Y16" t="e" cm="1">
        <f t="array" aca="1" ref="Y16" ca="1">INDEX(Caliber!C35:'Caliber'!D43,MATCH(INDIRECT(ADDRESS(ROW(),COLUMN()-2)),Caliber!B35:'Caliber'!B43,0),2)</f>
        <v>#N/A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29F4-F90E-490E-8D34-BB5E6787CD6C}">
  <dimension ref="A1"/>
  <sheetViews>
    <sheetView workbookViewId="0">
      <selection activeCell="M32" sqref="M32"/>
    </sheetView>
  </sheetViews>
  <sheetFormatPr defaultRowHeight="15" x14ac:dyDescent="0.25"/>
  <cols>
    <col min="1" max="1" width="11.28515625" customWidth="1"/>
  </cols>
  <sheetData>
    <row r="1" spans="1:1" x14ac:dyDescent="0.25">
      <c r="A1" t="s">
        <v>424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DE2C-4009-4AB7-BED9-B450B00DFD85}">
  <dimension ref="A1:P32"/>
  <sheetViews>
    <sheetView workbookViewId="0">
      <pane ySplit="2" topLeftCell="A30" activePane="bottomLeft" state="frozen"/>
      <selection pane="bottomLeft" activeCell="A3" sqref="A3"/>
    </sheetView>
  </sheetViews>
  <sheetFormatPr defaultRowHeight="15" x14ac:dyDescent="0.25"/>
  <cols>
    <col min="1" max="1" width="26.28515625" customWidth="1"/>
    <col min="11" max="11" width="14.140625" customWidth="1"/>
    <col min="12" max="12" width="10.42578125" customWidth="1"/>
    <col min="13" max="13" width="11" customWidth="1"/>
    <col min="14" max="14" width="10.42578125" customWidth="1"/>
    <col min="15" max="15" width="13.28515625" customWidth="1"/>
    <col min="16" max="16" width="11.140625" customWidth="1"/>
  </cols>
  <sheetData>
    <row r="1" spans="1:16" ht="22.5" customHeight="1" thickBot="1" x14ac:dyDescent="0.3">
      <c r="A1" s="91" t="s">
        <v>236</v>
      </c>
      <c r="B1" s="93" t="s">
        <v>237</v>
      </c>
      <c r="C1" s="94"/>
      <c r="D1" s="94"/>
      <c r="E1" s="95"/>
      <c r="F1" s="93" t="s">
        <v>238</v>
      </c>
      <c r="G1" s="94"/>
      <c r="H1" s="94"/>
      <c r="I1" s="94"/>
      <c r="J1" s="95"/>
      <c r="K1" s="91" t="s">
        <v>239</v>
      </c>
      <c r="L1" s="91" t="s">
        <v>240</v>
      </c>
      <c r="M1" s="91" t="s">
        <v>241</v>
      </c>
      <c r="N1" s="91" t="s">
        <v>242</v>
      </c>
      <c r="O1" s="91" t="s">
        <v>243</v>
      </c>
      <c r="P1" s="91" t="s">
        <v>244</v>
      </c>
    </row>
    <row r="2" spans="1:16" ht="15.75" thickBot="1" x14ac:dyDescent="0.3">
      <c r="A2" s="92"/>
      <c r="B2" s="20" t="s">
        <v>245</v>
      </c>
      <c r="C2" s="20" t="s">
        <v>246</v>
      </c>
      <c r="D2" s="20" t="s">
        <v>247</v>
      </c>
      <c r="E2" s="20" t="s">
        <v>248</v>
      </c>
      <c r="F2" s="21" t="s">
        <v>249</v>
      </c>
      <c r="G2" s="22" t="s">
        <v>250</v>
      </c>
      <c r="H2" s="23" t="s">
        <v>251</v>
      </c>
      <c r="I2" s="24" t="s">
        <v>252</v>
      </c>
      <c r="J2" s="25" t="s">
        <v>253</v>
      </c>
      <c r="K2" s="92"/>
      <c r="L2" s="92"/>
      <c r="M2" s="92"/>
      <c r="N2" s="92"/>
      <c r="O2" s="92"/>
      <c r="P2" s="92"/>
    </row>
    <row r="3" spans="1:16" ht="26.25" thickBot="1" x14ac:dyDescent="0.3">
      <c r="A3" s="26" t="s">
        <v>254</v>
      </c>
      <c r="B3" s="26">
        <v>4</v>
      </c>
      <c r="C3" s="26">
        <v>4</v>
      </c>
      <c r="D3" s="26">
        <v>4</v>
      </c>
      <c r="E3" s="26">
        <v>4</v>
      </c>
      <c r="F3" s="27"/>
      <c r="G3" s="28"/>
      <c r="H3" s="29"/>
      <c r="I3" s="30"/>
      <c r="J3" s="31"/>
      <c r="K3" s="26">
        <v>1</v>
      </c>
      <c r="L3" s="26">
        <v>1</v>
      </c>
      <c r="M3" s="26" t="s">
        <v>255</v>
      </c>
      <c r="N3" s="26" t="s">
        <v>256</v>
      </c>
      <c r="O3" s="26" t="s">
        <v>255</v>
      </c>
      <c r="P3" s="26">
        <v>0</v>
      </c>
    </row>
    <row r="4" spans="1:16" ht="30.75" customHeight="1" thickBot="1" x14ac:dyDescent="0.3">
      <c r="A4" s="32" t="s">
        <v>257</v>
      </c>
      <c r="B4" s="32">
        <v>4</v>
      </c>
      <c r="C4" s="32">
        <v>4</v>
      </c>
      <c r="D4" s="32">
        <v>4</v>
      </c>
      <c r="E4" s="32">
        <v>4</v>
      </c>
      <c r="F4" s="27"/>
      <c r="G4" s="22">
        <v>-5</v>
      </c>
      <c r="H4" s="29"/>
      <c r="I4" s="30"/>
      <c r="J4" s="25">
        <v>-2</v>
      </c>
      <c r="K4" s="32">
        <v>1</v>
      </c>
      <c r="L4" s="32">
        <v>1</v>
      </c>
      <c r="M4" s="32" t="s">
        <v>255</v>
      </c>
      <c r="N4" s="32" t="s">
        <v>256</v>
      </c>
      <c r="O4" s="32" t="s">
        <v>255</v>
      </c>
      <c r="P4" s="32">
        <v>0</v>
      </c>
    </row>
    <row r="5" spans="1:16" ht="26.25" thickBot="1" x14ac:dyDescent="0.3">
      <c r="A5" s="26" t="s">
        <v>258</v>
      </c>
      <c r="B5" s="26">
        <v>30</v>
      </c>
      <c r="C5" s="26">
        <v>10</v>
      </c>
      <c r="D5" s="26">
        <v>30</v>
      </c>
      <c r="E5" s="26">
        <v>4</v>
      </c>
      <c r="F5" s="21">
        <v>-5</v>
      </c>
      <c r="G5" s="22">
        <v>-15</v>
      </c>
      <c r="H5" s="23">
        <v>10</v>
      </c>
      <c r="I5" s="30"/>
      <c r="J5" s="25">
        <v>-10</v>
      </c>
      <c r="K5" s="26">
        <v>1</v>
      </c>
      <c r="L5" s="26">
        <v>1</v>
      </c>
      <c r="M5" s="26" t="s">
        <v>255</v>
      </c>
      <c r="N5" s="26" t="s">
        <v>256</v>
      </c>
      <c r="O5" s="26" t="s">
        <v>255</v>
      </c>
      <c r="P5" s="26">
        <v>0</v>
      </c>
    </row>
    <row r="6" spans="1:16" ht="33" customHeight="1" thickBot="1" x14ac:dyDescent="0.3">
      <c r="A6" s="32" t="s">
        <v>259</v>
      </c>
      <c r="B6" s="32">
        <v>30</v>
      </c>
      <c r="C6" s="32">
        <v>10</v>
      </c>
      <c r="D6" s="32">
        <v>30</v>
      </c>
      <c r="E6" s="32">
        <v>4</v>
      </c>
      <c r="F6" s="21">
        <v>-5</v>
      </c>
      <c r="G6" s="22">
        <v>-20</v>
      </c>
      <c r="H6" s="23">
        <v>10</v>
      </c>
      <c r="I6" s="30"/>
      <c r="J6" s="25">
        <v>-12</v>
      </c>
      <c r="K6" s="32">
        <v>1</v>
      </c>
      <c r="L6" s="32">
        <v>1</v>
      </c>
      <c r="M6" s="32" t="s">
        <v>255</v>
      </c>
      <c r="N6" s="32" t="s">
        <v>256</v>
      </c>
      <c r="O6" s="32" t="s">
        <v>255</v>
      </c>
      <c r="P6" s="32">
        <v>0</v>
      </c>
    </row>
    <row r="7" spans="1:16" ht="26.25" thickBot="1" x14ac:dyDescent="0.3">
      <c r="A7" s="26" t="s">
        <v>260</v>
      </c>
      <c r="B7" s="26">
        <v>30</v>
      </c>
      <c r="C7" s="26">
        <v>10</v>
      </c>
      <c r="D7" s="26">
        <v>30</v>
      </c>
      <c r="E7" s="26">
        <v>4</v>
      </c>
      <c r="F7" s="21">
        <v>-5</v>
      </c>
      <c r="G7" s="22">
        <v>-15</v>
      </c>
      <c r="H7" s="23">
        <v>10</v>
      </c>
      <c r="I7" s="30"/>
      <c r="J7" s="25">
        <v>-10</v>
      </c>
      <c r="K7" s="26">
        <v>1</v>
      </c>
      <c r="L7" s="26">
        <v>1</v>
      </c>
      <c r="M7" s="26" t="s">
        <v>255</v>
      </c>
      <c r="N7" s="26" t="s">
        <v>261</v>
      </c>
      <c r="O7" s="26" t="s">
        <v>255</v>
      </c>
      <c r="P7" s="26">
        <v>0</v>
      </c>
    </row>
    <row r="8" spans="1:16" ht="31.5" customHeight="1" thickBot="1" x14ac:dyDescent="0.3">
      <c r="A8" s="32" t="s">
        <v>262</v>
      </c>
      <c r="B8" s="32">
        <v>30</v>
      </c>
      <c r="C8" s="32">
        <v>10</v>
      </c>
      <c r="D8" s="32">
        <v>30</v>
      </c>
      <c r="E8" s="32">
        <v>4</v>
      </c>
      <c r="F8" s="21">
        <v>-5</v>
      </c>
      <c r="G8" s="22">
        <v>-20</v>
      </c>
      <c r="H8" s="23">
        <v>10</v>
      </c>
      <c r="I8" s="30"/>
      <c r="J8" s="25">
        <v>-12</v>
      </c>
      <c r="K8" s="32">
        <v>1</v>
      </c>
      <c r="L8" s="32">
        <v>1</v>
      </c>
      <c r="M8" s="32" t="s">
        <v>255</v>
      </c>
      <c r="N8" s="32" t="s">
        <v>261</v>
      </c>
      <c r="O8" s="32" t="s">
        <v>255</v>
      </c>
      <c r="P8" s="32">
        <v>0</v>
      </c>
    </row>
    <row r="9" spans="1:16" ht="25.5" customHeight="1" thickBot="1" x14ac:dyDescent="0.3">
      <c r="A9" s="26" t="s">
        <v>263</v>
      </c>
      <c r="B9" s="26">
        <v>30</v>
      </c>
      <c r="C9" s="26">
        <v>10</v>
      </c>
      <c r="D9" s="26">
        <v>30</v>
      </c>
      <c r="E9" s="26">
        <v>4</v>
      </c>
      <c r="F9" s="21">
        <v>-5</v>
      </c>
      <c r="G9" s="22">
        <v>-15</v>
      </c>
      <c r="H9" s="23">
        <v>10</v>
      </c>
      <c r="I9" s="30"/>
      <c r="J9" s="25">
        <v>-10</v>
      </c>
      <c r="K9" s="26">
        <v>1</v>
      </c>
      <c r="L9" s="26">
        <v>1</v>
      </c>
      <c r="M9" s="26" t="s">
        <v>255</v>
      </c>
      <c r="N9" s="26" t="s">
        <v>264</v>
      </c>
      <c r="O9" s="26" t="s">
        <v>265</v>
      </c>
      <c r="P9" s="26">
        <v>100</v>
      </c>
    </row>
    <row r="10" spans="1:16" ht="29.25" customHeight="1" thickBot="1" x14ac:dyDescent="0.3">
      <c r="A10" s="32" t="s">
        <v>266</v>
      </c>
      <c r="B10" s="32">
        <v>30</v>
      </c>
      <c r="C10" s="32">
        <v>10</v>
      </c>
      <c r="D10" s="32">
        <v>30</v>
      </c>
      <c r="E10" s="32">
        <v>4</v>
      </c>
      <c r="F10" s="21">
        <v>-5</v>
      </c>
      <c r="G10" s="22">
        <v>-20</v>
      </c>
      <c r="H10" s="23">
        <v>10</v>
      </c>
      <c r="I10" s="30"/>
      <c r="J10" s="25">
        <v>-12</v>
      </c>
      <c r="K10" s="32">
        <v>1</v>
      </c>
      <c r="L10" s="32">
        <v>1</v>
      </c>
      <c r="M10" s="32" t="s">
        <v>255</v>
      </c>
      <c r="N10" s="32" t="s">
        <v>256</v>
      </c>
      <c r="O10" s="32" t="s">
        <v>265</v>
      </c>
      <c r="P10" s="32">
        <v>100</v>
      </c>
    </row>
    <row r="11" spans="1:16" ht="27" customHeight="1" thickBot="1" x14ac:dyDescent="0.3">
      <c r="A11" s="32" t="s">
        <v>291</v>
      </c>
      <c r="B11" s="32">
        <v>35</v>
      </c>
      <c r="C11" s="32">
        <v>15</v>
      </c>
      <c r="D11" s="32">
        <v>30</v>
      </c>
      <c r="E11" s="32">
        <v>4</v>
      </c>
      <c r="F11" s="21">
        <v>-10</v>
      </c>
      <c r="G11" s="22">
        <v>-15</v>
      </c>
      <c r="H11" s="23">
        <v>15</v>
      </c>
      <c r="I11" s="30">
        <v>-3</v>
      </c>
      <c r="J11" s="25">
        <v>-14</v>
      </c>
      <c r="K11" s="32">
        <v>1</v>
      </c>
      <c r="L11" s="32">
        <v>1</v>
      </c>
      <c r="M11" s="32" t="s">
        <v>255</v>
      </c>
      <c r="N11" s="32" t="s">
        <v>256</v>
      </c>
      <c r="O11" s="32" t="s">
        <v>255</v>
      </c>
      <c r="P11" s="32">
        <v>0</v>
      </c>
    </row>
    <row r="12" spans="1:16" ht="30" customHeight="1" thickBot="1" x14ac:dyDescent="0.3">
      <c r="A12" s="32" t="s">
        <v>292</v>
      </c>
      <c r="B12" s="32">
        <v>35</v>
      </c>
      <c r="C12" s="32">
        <v>15</v>
      </c>
      <c r="D12" s="32">
        <v>30</v>
      </c>
      <c r="E12" s="32">
        <v>4</v>
      </c>
      <c r="F12" s="21">
        <v>-14</v>
      </c>
      <c r="G12" s="22">
        <v>-20</v>
      </c>
      <c r="H12" s="23">
        <v>15</v>
      </c>
      <c r="I12" s="30">
        <v>-3</v>
      </c>
      <c r="J12" s="25">
        <v>-17</v>
      </c>
      <c r="K12" s="32">
        <v>1</v>
      </c>
      <c r="L12" s="32">
        <v>1</v>
      </c>
      <c r="M12" s="32" t="s">
        <v>255</v>
      </c>
      <c r="N12" s="32" t="s">
        <v>256</v>
      </c>
      <c r="O12" s="32" t="s">
        <v>255</v>
      </c>
      <c r="P12" s="32">
        <v>0</v>
      </c>
    </row>
    <row r="13" spans="1:16" ht="27.75" customHeight="1" thickBot="1" x14ac:dyDescent="0.3">
      <c r="A13" s="33" t="s">
        <v>267</v>
      </c>
      <c r="B13" s="26">
        <v>4</v>
      </c>
      <c r="C13" s="26">
        <v>4</v>
      </c>
      <c r="D13" s="26">
        <v>4</v>
      </c>
      <c r="E13" s="26">
        <v>4</v>
      </c>
      <c r="F13" s="27"/>
      <c r="G13" s="28"/>
      <c r="H13" s="29"/>
      <c r="I13" s="30"/>
      <c r="J13" s="31"/>
      <c r="K13" s="26">
        <v>1</v>
      </c>
      <c r="L13" s="26">
        <v>1</v>
      </c>
      <c r="M13" s="26" t="s">
        <v>268</v>
      </c>
      <c r="N13" s="26" t="s">
        <v>256</v>
      </c>
      <c r="O13" s="26" t="s">
        <v>255</v>
      </c>
      <c r="P13" s="26">
        <v>0</v>
      </c>
    </row>
    <row r="14" spans="1:16" ht="27.75" customHeight="1" thickBot="1" x14ac:dyDescent="0.3">
      <c r="A14" s="33" t="s">
        <v>269</v>
      </c>
      <c r="B14" s="32">
        <v>4</v>
      </c>
      <c r="C14" s="32">
        <v>4</v>
      </c>
      <c r="D14" s="32">
        <v>4</v>
      </c>
      <c r="E14" s="32">
        <v>4</v>
      </c>
      <c r="F14" s="27"/>
      <c r="G14" s="22">
        <v>-5</v>
      </c>
      <c r="H14" s="29"/>
      <c r="I14" s="30"/>
      <c r="J14" s="25">
        <v>-2</v>
      </c>
      <c r="K14" s="32">
        <v>1</v>
      </c>
      <c r="L14" s="32">
        <v>1</v>
      </c>
      <c r="M14" s="32" t="s">
        <v>268</v>
      </c>
      <c r="N14" s="32" t="s">
        <v>256</v>
      </c>
      <c r="O14" s="32" t="s">
        <v>255</v>
      </c>
      <c r="P14" s="32">
        <v>0</v>
      </c>
    </row>
    <row r="15" spans="1:16" ht="26.25" thickBot="1" x14ac:dyDescent="0.3">
      <c r="A15" s="33" t="s">
        <v>270</v>
      </c>
      <c r="B15" s="26">
        <v>30</v>
      </c>
      <c r="C15" s="26">
        <v>10</v>
      </c>
      <c r="D15" s="26">
        <v>30</v>
      </c>
      <c r="E15" s="26">
        <v>4</v>
      </c>
      <c r="F15" s="21">
        <v>-5</v>
      </c>
      <c r="G15" s="22">
        <v>-15</v>
      </c>
      <c r="H15" s="23">
        <v>10</v>
      </c>
      <c r="I15" s="30"/>
      <c r="J15" s="25">
        <v>-10</v>
      </c>
      <c r="K15" s="26">
        <v>1</v>
      </c>
      <c r="L15" s="26">
        <v>1</v>
      </c>
      <c r="M15" s="26" t="s">
        <v>268</v>
      </c>
      <c r="N15" s="26" t="s">
        <v>256</v>
      </c>
      <c r="O15" s="26" t="s">
        <v>255</v>
      </c>
      <c r="P15" s="26">
        <v>0</v>
      </c>
    </row>
    <row r="16" spans="1:16" ht="31.5" customHeight="1" thickBot="1" x14ac:dyDescent="0.3">
      <c r="A16" s="33" t="s">
        <v>271</v>
      </c>
      <c r="B16" s="32">
        <v>30</v>
      </c>
      <c r="C16" s="32">
        <v>10</v>
      </c>
      <c r="D16" s="32">
        <v>30</v>
      </c>
      <c r="E16" s="32">
        <v>4</v>
      </c>
      <c r="F16" s="21">
        <v>-5</v>
      </c>
      <c r="G16" s="22">
        <v>-20</v>
      </c>
      <c r="H16" s="23">
        <v>10</v>
      </c>
      <c r="I16" s="30"/>
      <c r="J16" s="25">
        <v>-12</v>
      </c>
      <c r="K16" s="32">
        <v>1</v>
      </c>
      <c r="L16" s="32">
        <v>1</v>
      </c>
      <c r="M16" s="32" t="s">
        <v>268</v>
      </c>
      <c r="N16" s="32" t="s">
        <v>256</v>
      </c>
      <c r="O16" s="32" t="s">
        <v>255</v>
      </c>
      <c r="P16" s="32">
        <v>0</v>
      </c>
    </row>
    <row r="17" spans="1:16" ht="32.25" customHeight="1" thickBot="1" x14ac:dyDescent="0.3">
      <c r="A17" s="33" t="s">
        <v>272</v>
      </c>
      <c r="B17" s="26">
        <v>30</v>
      </c>
      <c r="C17" s="26">
        <v>10</v>
      </c>
      <c r="D17" s="26">
        <v>30</v>
      </c>
      <c r="E17" s="26">
        <v>4</v>
      </c>
      <c r="F17" s="21">
        <v>-5</v>
      </c>
      <c r="G17" s="22">
        <v>-15</v>
      </c>
      <c r="H17" s="23">
        <v>10</v>
      </c>
      <c r="I17" s="30"/>
      <c r="J17" s="25">
        <v>-10</v>
      </c>
      <c r="K17" s="26">
        <v>1</v>
      </c>
      <c r="L17" s="26">
        <v>1</v>
      </c>
      <c r="M17" s="26" t="s">
        <v>268</v>
      </c>
      <c r="N17" s="26" t="s">
        <v>261</v>
      </c>
      <c r="O17" s="26" t="s">
        <v>255</v>
      </c>
      <c r="P17" s="26">
        <v>0</v>
      </c>
    </row>
    <row r="18" spans="1:16" ht="28.5" customHeight="1" thickBot="1" x14ac:dyDescent="0.3">
      <c r="A18" s="33" t="s">
        <v>273</v>
      </c>
      <c r="B18" s="32">
        <v>30</v>
      </c>
      <c r="C18" s="32">
        <v>10</v>
      </c>
      <c r="D18" s="32">
        <v>30</v>
      </c>
      <c r="E18" s="32">
        <v>4</v>
      </c>
      <c r="F18" s="21">
        <v>-5</v>
      </c>
      <c r="G18" s="22">
        <v>-20</v>
      </c>
      <c r="H18" s="23">
        <v>10</v>
      </c>
      <c r="I18" s="30"/>
      <c r="J18" s="25">
        <v>-12</v>
      </c>
      <c r="K18" s="32">
        <v>1</v>
      </c>
      <c r="L18" s="32">
        <v>1</v>
      </c>
      <c r="M18" s="32" t="s">
        <v>268</v>
      </c>
      <c r="N18" s="32" t="s">
        <v>261</v>
      </c>
      <c r="O18" s="32" t="s">
        <v>255</v>
      </c>
      <c r="P18" s="32">
        <v>0</v>
      </c>
    </row>
    <row r="19" spans="1:16" ht="24.75" customHeight="1" thickBot="1" x14ac:dyDescent="0.3">
      <c r="A19" s="33" t="s">
        <v>274</v>
      </c>
      <c r="B19" s="26">
        <v>30</v>
      </c>
      <c r="C19" s="26">
        <v>10</v>
      </c>
      <c r="D19" s="26">
        <v>30</v>
      </c>
      <c r="E19" s="26">
        <v>4</v>
      </c>
      <c r="F19" s="21">
        <v>-5</v>
      </c>
      <c r="G19" s="22">
        <v>-15</v>
      </c>
      <c r="H19" s="23">
        <v>10</v>
      </c>
      <c r="I19" s="30"/>
      <c r="J19" s="25">
        <v>-10</v>
      </c>
      <c r="K19" s="26">
        <v>1</v>
      </c>
      <c r="L19" s="26">
        <v>1</v>
      </c>
      <c r="M19" s="26" t="s">
        <v>268</v>
      </c>
      <c r="N19" s="26" t="s">
        <v>264</v>
      </c>
      <c r="O19" s="26" t="s">
        <v>265</v>
      </c>
      <c r="P19" s="26">
        <v>100</v>
      </c>
    </row>
    <row r="20" spans="1:16" ht="28.5" customHeight="1" thickBot="1" x14ac:dyDescent="0.3">
      <c r="A20" s="33" t="s">
        <v>275</v>
      </c>
      <c r="B20" s="32">
        <v>30</v>
      </c>
      <c r="C20" s="32">
        <v>10</v>
      </c>
      <c r="D20" s="32">
        <v>30</v>
      </c>
      <c r="E20" s="32">
        <v>4</v>
      </c>
      <c r="F20" s="21">
        <v>-5</v>
      </c>
      <c r="G20" s="22">
        <v>-20</v>
      </c>
      <c r="H20" s="23">
        <v>10</v>
      </c>
      <c r="I20" s="30"/>
      <c r="J20" s="25">
        <v>-12</v>
      </c>
      <c r="K20" s="32">
        <v>1</v>
      </c>
      <c r="L20" s="32">
        <v>1</v>
      </c>
      <c r="M20" s="32" t="s">
        <v>268</v>
      </c>
      <c r="N20" s="32" t="s">
        <v>264</v>
      </c>
      <c r="O20" s="32" t="s">
        <v>265</v>
      </c>
      <c r="P20" s="32">
        <v>100</v>
      </c>
    </row>
    <row r="21" spans="1:16" ht="26.25" thickBot="1" x14ac:dyDescent="0.3">
      <c r="A21" s="33" t="s">
        <v>276</v>
      </c>
      <c r="B21" s="26">
        <v>4</v>
      </c>
      <c r="C21" s="26">
        <v>4</v>
      </c>
      <c r="D21" s="26">
        <v>4</v>
      </c>
      <c r="E21" s="26">
        <v>4</v>
      </c>
      <c r="F21" s="27"/>
      <c r="G21" s="28"/>
      <c r="H21" s="29"/>
      <c r="I21" s="24">
        <v>-6</v>
      </c>
      <c r="J21" s="31"/>
      <c r="K21" s="26">
        <v>0</v>
      </c>
      <c r="L21" s="26">
        <v>1</v>
      </c>
      <c r="M21" s="26" t="s">
        <v>255</v>
      </c>
      <c r="N21" s="26" t="s">
        <v>277</v>
      </c>
      <c r="O21" s="26" t="s">
        <v>255</v>
      </c>
      <c r="P21" s="26">
        <v>0</v>
      </c>
    </row>
    <row r="22" spans="1:16" ht="30" customHeight="1" thickBot="1" x14ac:dyDescent="0.3">
      <c r="A22" s="33" t="s">
        <v>278</v>
      </c>
      <c r="B22" s="32">
        <v>4</v>
      </c>
      <c r="C22" s="32">
        <v>4</v>
      </c>
      <c r="D22" s="32">
        <v>4</v>
      </c>
      <c r="E22" s="32">
        <v>4</v>
      </c>
      <c r="F22" s="27"/>
      <c r="G22" s="22">
        <v>-5</v>
      </c>
      <c r="H22" s="29"/>
      <c r="I22" s="24">
        <v>-6</v>
      </c>
      <c r="J22" s="25">
        <v>-2</v>
      </c>
      <c r="K22" s="32">
        <v>0</v>
      </c>
      <c r="L22" s="32">
        <v>1</v>
      </c>
      <c r="M22" s="32" t="s">
        <v>255</v>
      </c>
      <c r="N22" s="32" t="s">
        <v>277</v>
      </c>
      <c r="O22" s="32" t="s">
        <v>255</v>
      </c>
      <c r="P22" s="32">
        <v>0</v>
      </c>
    </row>
    <row r="23" spans="1:16" ht="26.25" thickBot="1" x14ac:dyDescent="0.3">
      <c r="A23" s="33" t="s">
        <v>279</v>
      </c>
      <c r="B23" s="26">
        <v>30</v>
      </c>
      <c r="C23" s="26">
        <v>10</v>
      </c>
      <c r="D23" s="26">
        <v>30</v>
      </c>
      <c r="E23" s="26">
        <v>4</v>
      </c>
      <c r="F23" s="21">
        <v>-5</v>
      </c>
      <c r="G23" s="22">
        <v>-15</v>
      </c>
      <c r="H23" s="23">
        <v>10</v>
      </c>
      <c r="I23" s="24">
        <v>-6</v>
      </c>
      <c r="J23" s="25">
        <v>-10</v>
      </c>
      <c r="K23" s="26">
        <v>0</v>
      </c>
      <c r="L23" s="26">
        <v>1</v>
      </c>
      <c r="M23" s="26" t="s">
        <v>255</v>
      </c>
      <c r="N23" s="26" t="s">
        <v>277</v>
      </c>
      <c r="O23" s="26" t="s">
        <v>255</v>
      </c>
      <c r="P23" s="26">
        <v>0</v>
      </c>
    </row>
    <row r="24" spans="1:16" ht="30" customHeight="1" thickBot="1" x14ac:dyDescent="0.3">
      <c r="A24" s="33" t="s">
        <v>280</v>
      </c>
      <c r="B24" s="32">
        <v>30</v>
      </c>
      <c r="C24" s="32">
        <v>10</v>
      </c>
      <c r="D24" s="32">
        <v>30</v>
      </c>
      <c r="E24" s="32">
        <v>4</v>
      </c>
      <c r="F24" s="21">
        <v>-5</v>
      </c>
      <c r="G24" s="22">
        <v>-20</v>
      </c>
      <c r="H24" s="23">
        <v>10</v>
      </c>
      <c r="I24" s="24">
        <v>-6</v>
      </c>
      <c r="J24" s="25">
        <v>-12</v>
      </c>
      <c r="K24" s="32">
        <v>0</v>
      </c>
      <c r="L24" s="32">
        <v>1</v>
      </c>
      <c r="M24" s="32" t="s">
        <v>255</v>
      </c>
      <c r="N24" s="32" t="s">
        <v>277</v>
      </c>
      <c r="O24" s="32" t="s">
        <v>255</v>
      </c>
      <c r="P24" s="32">
        <v>0</v>
      </c>
    </row>
    <row r="25" spans="1:16" ht="30" customHeight="1" thickBot="1" x14ac:dyDescent="0.3">
      <c r="A25" s="33" t="s">
        <v>281</v>
      </c>
      <c r="B25" s="26">
        <v>30</v>
      </c>
      <c r="C25" s="26">
        <v>10</v>
      </c>
      <c r="D25" s="26">
        <v>30</v>
      </c>
      <c r="E25" s="26">
        <v>4</v>
      </c>
      <c r="F25" s="21">
        <v>-5</v>
      </c>
      <c r="G25" s="22">
        <v>-15</v>
      </c>
      <c r="H25" s="23">
        <v>10</v>
      </c>
      <c r="I25" s="24">
        <v>-6</v>
      </c>
      <c r="J25" s="25">
        <v>-10</v>
      </c>
      <c r="K25" s="26">
        <v>0</v>
      </c>
      <c r="L25" s="26">
        <v>1</v>
      </c>
      <c r="M25" s="26" t="s">
        <v>255</v>
      </c>
      <c r="N25" s="26" t="s">
        <v>282</v>
      </c>
      <c r="O25" s="26" t="s">
        <v>255</v>
      </c>
      <c r="P25" s="26">
        <v>0</v>
      </c>
    </row>
    <row r="26" spans="1:16" ht="29.25" customHeight="1" thickBot="1" x14ac:dyDescent="0.3">
      <c r="A26" s="33" t="s">
        <v>283</v>
      </c>
      <c r="B26" s="32">
        <v>30</v>
      </c>
      <c r="C26" s="32">
        <v>10</v>
      </c>
      <c r="D26" s="32">
        <v>30</v>
      </c>
      <c r="E26" s="32">
        <v>4</v>
      </c>
      <c r="F26" s="21">
        <v>-5</v>
      </c>
      <c r="G26" s="22">
        <v>-20</v>
      </c>
      <c r="H26" s="23">
        <v>10</v>
      </c>
      <c r="I26" s="24">
        <v>-6</v>
      </c>
      <c r="J26" s="25">
        <v>-12</v>
      </c>
      <c r="K26" s="32">
        <v>0</v>
      </c>
      <c r="L26" s="32">
        <v>1</v>
      </c>
      <c r="M26" s="32" t="s">
        <v>255</v>
      </c>
      <c r="N26" s="32" t="s">
        <v>282</v>
      </c>
      <c r="O26" s="32" t="s">
        <v>255</v>
      </c>
      <c r="P26" s="32">
        <v>100</v>
      </c>
    </row>
    <row r="27" spans="1:16" ht="26.25" thickBot="1" x14ac:dyDescent="0.3">
      <c r="A27" s="33" t="s">
        <v>284</v>
      </c>
      <c r="B27" s="26">
        <v>30</v>
      </c>
      <c r="C27" s="26">
        <v>10</v>
      </c>
      <c r="D27" s="26">
        <v>30</v>
      </c>
      <c r="E27" s="26">
        <v>4</v>
      </c>
      <c r="F27" s="21">
        <v>-5</v>
      </c>
      <c r="G27" s="22">
        <v>-15</v>
      </c>
      <c r="H27" s="23">
        <v>10</v>
      </c>
      <c r="I27" s="24">
        <v>-6</v>
      </c>
      <c r="J27" s="25">
        <v>-10</v>
      </c>
      <c r="K27" s="26">
        <v>0</v>
      </c>
      <c r="L27" s="26">
        <v>1</v>
      </c>
      <c r="M27" s="26" t="s">
        <v>255</v>
      </c>
      <c r="N27" s="26" t="s">
        <v>285</v>
      </c>
      <c r="O27" s="26" t="s">
        <v>265</v>
      </c>
      <c r="P27" s="26">
        <v>100</v>
      </c>
    </row>
    <row r="28" spans="1:16" ht="26.25" thickBot="1" x14ac:dyDescent="0.3">
      <c r="A28" s="33" t="s">
        <v>286</v>
      </c>
      <c r="B28" s="32">
        <v>30</v>
      </c>
      <c r="C28" s="32">
        <v>10</v>
      </c>
      <c r="D28" s="32">
        <v>30</v>
      </c>
      <c r="E28" s="32">
        <v>4</v>
      </c>
      <c r="F28" s="21">
        <v>-5</v>
      </c>
      <c r="G28" s="22">
        <v>-20</v>
      </c>
      <c r="H28" s="23">
        <v>10</v>
      </c>
      <c r="I28" s="24">
        <v>-6</v>
      </c>
      <c r="J28" s="25">
        <v>-12</v>
      </c>
      <c r="K28" s="32">
        <v>0</v>
      </c>
      <c r="L28" s="32">
        <v>1</v>
      </c>
      <c r="M28" s="32" t="s">
        <v>255</v>
      </c>
      <c r="N28" s="32" t="s">
        <v>285</v>
      </c>
      <c r="O28" s="32" t="s">
        <v>265</v>
      </c>
      <c r="P28" s="32">
        <v>0</v>
      </c>
    </row>
    <row r="29" spans="1:16" ht="26.25" thickBot="1" x14ac:dyDescent="0.3">
      <c r="A29" s="26" t="s">
        <v>287</v>
      </c>
      <c r="B29" s="26">
        <v>40</v>
      </c>
      <c r="C29" s="26">
        <v>20</v>
      </c>
      <c r="D29" s="26">
        <v>40</v>
      </c>
      <c r="E29" s="26">
        <v>4</v>
      </c>
      <c r="F29" s="21">
        <v>-10</v>
      </c>
      <c r="G29" s="22">
        <v>-20</v>
      </c>
      <c r="H29" s="23">
        <v>20</v>
      </c>
      <c r="I29" s="24">
        <v>-5</v>
      </c>
      <c r="J29" s="25">
        <v>-15</v>
      </c>
      <c r="K29" s="26">
        <v>1</v>
      </c>
      <c r="L29" s="26">
        <v>1</v>
      </c>
      <c r="M29" s="26" t="s">
        <v>255</v>
      </c>
      <c r="N29" s="26" t="s">
        <v>277</v>
      </c>
      <c r="O29" s="26" t="s">
        <v>255</v>
      </c>
      <c r="P29" s="26">
        <v>0</v>
      </c>
    </row>
    <row r="30" spans="1:16" ht="26.25" thickBot="1" x14ac:dyDescent="0.3">
      <c r="A30" s="32" t="s">
        <v>288</v>
      </c>
      <c r="B30" s="32">
        <v>40</v>
      </c>
      <c r="C30" s="32">
        <v>20</v>
      </c>
      <c r="D30" s="32">
        <v>40</v>
      </c>
      <c r="E30" s="32">
        <v>4</v>
      </c>
      <c r="F30" s="21">
        <v>-10</v>
      </c>
      <c r="G30" s="22">
        <v>-20</v>
      </c>
      <c r="H30" s="23">
        <v>20</v>
      </c>
      <c r="I30" s="24">
        <v>-5</v>
      </c>
      <c r="J30" s="25">
        <v>-15</v>
      </c>
      <c r="K30" s="32">
        <v>1</v>
      </c>
      <c r="L30" s="32">
        <v>1</v>
      </c>
      <c r="M30" s="32" t="s">
        <v>255</v>
      </c>
      <c r="N30" s="32" t="s">
        <v>282</v>
      </c>
      <c r="O30" s="32" t="s">
        <v>255</v>
      </c>
      <c r="P30" s="32">
        <v>0</v>
      </c>
    </row>
    <row r="31" spans="1:16" ht="26.25" thickBot="1" x14ac:dyDescent="0.3">
      <c r="A31" s="26" t="s">
        <v>289</v>
      </c>
      <c r="B31" s="26">
        <v>40</v>
      </c>
      <c r="C31" s="26">
        <v>20</v>
      </c>
      <c r="D31" s="26">
        <v>40</v>
      </c>
      <c r="E31" s="26">
        <v>4</v>
      </c>
      <c r="F31" s="21">
        <v>-10</v>
      </c>
      <c r="G31" s="22">
        <v>-20</v>
      </c>
      <c r="H31" s="23">
        <v>20</v>
      </c>
      <c r="I31" s="24">
        <v>-5</v>
      </c>
      <c r="J31" s="25">
        <v>-15</v>
      </c>
      <c r="K31" s="26">
        <v>1</v>
      </c>
      <c r="L31" s="26">
        <v>1</v>
      </c>
      <c r="M31" s="26" t="s">
        <v>255</v>
      </c>
      <c r="N31" s="26" t="s">
        <v>285</v>
      </c>
      <c r="O31" s="26" t="s">
        <v>255</v>
      </c>
      <c r="P31" s="26">
        <v>100</v>
      </c>
    </row>
    <row r="32" spans="1:16" ht="26.25" thickBot="1" x14ac:dyDescent="0.3">
      <c r="A32" s="33" t="s">
        <v>290</v>
      </c>
      <c r="B32" s="32">
        <v>30</v>
      </c>
      <c r="C32" s="32">
        <v>25</v>
      </c>
      <c r="D32" s="32">
        <v>30</v>
      </c>
      <c r="E32" s="32">
        <v>20</v>
      </c>
      <c r="F32" s="21">
        <v>-20</v>
      </c>
      <c r="G32" s="22">
        <v>-30</v>
      </c>
      <c r="H32" s="23">
        <v>10</v>
      </c>
      <c r="I32" s="24">
        <v>-40</v>
      </c>
      <c r="J32" s="25">
        <v>-20</v>
      </c>
      <c r="K32" s="32">
        <v>0</v>
      </c>
      <c r="L32" s="32">
        <v>0.3</v>
      </c>
      <c r="M32" s="32" t="s">
        <v>255</v>
      </c>
      <c r="N32" s="32" t="s">
        <v>277</v>
      </c>
      <c r="O32" s="32" t="s">
        <v>255</v>
      </c>
      <c r="P32" s="32">
        <v>0</v>
      </c>
    </row>
  </sheetData>
  <mergeCells count="9">
    <mergeCell ref="N1:N2"/>
    <mergeCell ref="O1:O2"/>
    <mergeCell ref="P1:P2"/>
    <mergeCell ref="A1:A2"/>
    <mergeCell ref="B1:E1"/>
    <mergeCell ref="F1:J1"/>
    <mergeCell ref="K1:K2"/>
    <mergeCell ref="L1:L2"/>
    <mergeCell ref="M1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F238-A859-4DAF-9B24-82DF047DC2BE}">
  <dimension ref="A1:P18"/>
  <sheetViews>
    <sheetView workbookViewId="0">
      <selection activeCell="K15" sqref="K15"/>
    </sheetView>
  </sheetViews>
  <sheetFormatPr defaultRowHeight="15" x14ac:dyDescent="0.25"/>
  <cols>
    <col min="1" max="1" width="12.42578125" customWidth="1"/>
    <col min="2" max="2" width="12.7109375" customWidth="1"/>
    <col min="13" max="13" width="11.85546875" customWidth="1"/>
    <col min="15" max="15" width="16.28515625" customWidth="1"/>
    <col min="16" max="16" width="11.5703125" customWidth="1"/>
  </cols>
  <sheetData>
    <row r="1" spans="1:16" ht="33.75" customHeight="1" thickBot="1" x14ac:dyDescent="0.3">
      <c r="A1" s="20" t="s">
        <v>334</v>
      </c>
      <c r="B1" s="20" t="s">
        <v>236</v>
      </c>
      <c r="C1" s="21" t="s">
        <v>249</v>
      </c>
      <c r="D1" s="22" t="s">
        <v>250</v>
      </c>
      <c r="E1" s="34" t="s">
        <v>293</v>
      </c>
      <c r="F1" s="23" t="s">
        <v>251</v>
      </c>
      <c r="G1" s="35" t="s">
        <v>300</v>
      </c>
      <c r="H1" s="24" t="s">
        <v>252</v>
      </c>
      <c r="I1" s="36" t="s">
        <v>301</v>
      </c>
      <c r="J1" s="25" t="s">
        <v>253</v>
      </c>
      <c r="K1" s="37" t="s">
        <v>302</v>
      </c>
      <c r="L1" s="20" t="s">
        <v>303</v>
      </c>
      <c r="M1" s="20" t="s">
        <v>304</v>
      </c>
      <c r="N1" s="20" t="s">
        <v>305</v>
      </c>
      <c r="O1" s="20" t="s">
        <v>306</v>
      </c>
      <c r="P1" s="20" t="s">
        <v>307</v>
      </c>
    </row>
    <row r="2" spans="1:16" ht="39" thickBot="1" x14ac:dyDescent="0.3">
      <c r="A2" s="32" t="s">
        <v>335</v>
      </c>
      <c r="B2" s="32" t="s">
        <v>294</v>
      </c>
      <c r="C2" s="21" t="s">
        <v>295</v>
      </c>
      <c r="D2" s="22" t="s">
        <v>296</v>
      </c>
      <c r="E2" s="34" t="s">
        <v>297</v>
      </c>
      <c r="F2" s="23" t="s">
        <v>308</v>
      </c>
      <c r="G2" s="35" t="s">
        <v>309</v>
      </c>
      <c r="H2" s="24" t="s">
        <v>310</v>
      </c>
      <c r="I2" s="36" t="s">
        <v>311</v>
      </c>
      <c r="J2" s="25" t="s">
        <v>312</v>
      </c>
      <c r="K2" s="37" t="s">
        <v>295</v>
      </c>
      <c r="L2" s="32">
        <v>100</v>
      </c>
      <c r="M2" s="38"/>
      <c r="N2" s="38"/>
      <c r="O2" s="32" t="s">
        <v>580</v>
      </c>
      <c r="P2" s="32" t="s">
        <v>581</v>
      </c>
    </row>
    <row r="3" spans="1:16" ht="26.25" thickBot="1" x14ac:dyDescent="0.3">
      <c r="A3" s="96" t="s">
        <v>336</v>
      </c>
      <c r="B3" s="26" t="s">
        <v>298</v>
      </c>
      <c r="C3" s="21">
        <v>80</v>
      </c>
      <c r="D3" s="22">
        <v>100</v>
      </c>
      <c r="E3" s="34">
        <v>45</v>
      </c>
      <c r="F3" s="23">
        <v>90</v>
      </c>
      <c r="G3" s="35">
        <v>65</v>
      </c>
      <c r="H3" s="24">
        <v>70</v>
      </c>
      <c r="I3" s="36">
        <v>55</v>
      </c>
      <c r="J3" s="25">
        <v>100</v>
      </c>
      <c r="K3" s="37">
        <v>70</v>
      </c>
      <c r="L3" s="26">
        <v>50</v>
      </c>
      <c r="M3" s="26" t="s">
        <v>313</v>
      </c>
      <c r="N3" s="26" t="s">
        <v>314</v>
      </c>
      <c r="O3" s="39"/>
      <c r="P3" s="39"/>
    </row>
    <row r="4" spans="1:16" ht="26.25" thickBot="1" x14ac:dyDescent="0.3">
      <c r="A4" s="97"/>
      <c r="B4" s="32" t="s">
        <v>299</v>
      </c>
      <c r="C4" s="21">
        <v>70</v>
      </c>
      <c r="D4" s="22">
        <v>100</v>
      </c>
      <c r="E4" s="34">
        <v>50</v>
      </c>
      <c r="F4" s="23">
        <v>90</v>
      </c>
      <c r="G4" s="35">
        <v>60</v>
      </c>
      <c r="H4" s="24">
        <v>70</v>
      </c>
      <c r="I4" s="36">
        <v>55</v>
      </c>
      <c r="J4" s="25">
        <v>100</v>
      </c>
      <c r="K4" s="37">
        <v>70</v>
      </c>
      <c r="L4" s="32">
        <v>40</v>
      </c>
      <c r="M4" s="32" t="s">
        <v>313</v>
      </c>
      <c r="N4" s="32" t="s">
        <v>314</v>
      </c>
      <c r="O4" s="38"/>
      <c r="P4" s="38"/>
    </row>
    <row r="5" spans="1:16" ht="25.5" customHeight="1" thickBot="1" x14ac:dyDescent="0.3">
      <c r="A5" s="97"/>
      <c r="B5" s="26" t="s">
        <v>315</v>
      </c>
      <c r="C5" s="21">
        <v>60</v>
      </c>
      <c r="D5" s="22">
        <v>100</v>
      </c>
      <c r="E5" s="34">
        <v>40</v>
      </c>
      <c r="F5" s="23">
        <v>50</v>
      </c>
      <c r="G5" s="35">
        <v>30</v>
      </c>
      <c r="H5" s="24">
        <v>60</v>
      </c>
      <c r="I5" s="36">
        <v>55</v>
      </c>
      <c r="J5" s="25">
        <v>100</v>
      </c>
      <c r="K5" s="37">
        <v>55</v>
      </c>
      <c r="L5" s="26">
        <v>25</v>
      </c>
      <c r="M5" s="26" t="s">
        <v>318</v>
      </c>
      <c r="N5" s="26" t="s">
        <v>316</v>
      </c>
      <c r="O5" s="39"/>
      <c r="P5" s="39"/>
    </row>
    <row r="6" spans="1:16" ht="26.25" thickBot="1" x14ac:dyDescent="0.3">
      <c r="A6" s="97"/>
      <c r="B6" s="32" t="s">
        <v>317</v>
      </c>
      <c r="C6" s="21">
        <v>65</v>
      </c>
      <c r="D6" s="22">
        <v>100</v>
      </c>
      <c r="E6" s="34">
        <v>35</v>
      </c>
      <c r="F6" s="23">
        <v>50</v>
      </c>
      <c r="G6" s="35">
        <v>40</v>
      </c>
      <c r="H6" s="24">
        <v>55</v>
      </c>
      <c r="I6" s="36">
        <v>55</v>
      </c>
      <c r="J6" s="25">
        <v>100</v>
      </c>
      <c r="K6" s="37">
        <v>55</v>
      </c>
      <c r="L6" s="32">
        <v>20</v>
      </c>
      <c r="M6" s="32" t="s">
        <v>316</v>
      </c>
      <c r="N6" s="32" t="s">
        <v>318</v>
      </c>
      <c r="O6" s="38"/>
      <c r="P6" s="38"/>
    </row>
    <row r="7" spans="1:16" ht="26.25" thickBot="1" x14ac:dyDescent="0.3">
      <c r="A7" s="97"/>
      <c r="B7" s="26" t="s">
        <v>319</v>
      </c>
      <c r="C7" s="21">
        <v>75</v>
      </c>
      <c r="D7" s="22">
        <v>100</v>
      </c>
      <c r="E7" s="34">
        <v>40</v>
      </c>
      <c r="F7" s="23">
        <v>70</v>
      </c>
      <c r="G7" s="35">
        <v>50</v>
      </c>
      <c r="H7" s="24">
        <v>55</v>
      </c>
      <c r="I7" s="36">
        <v>55</v>
      </c>
      <c r="J7" s="25">
        <v>100</v>
      </c>
      <c r="K7" s="37">
        <v>60</v>
      </c>
      <c r="L7" s="26">
        <v>20</v>
      </c>
      <c r="M7" s="26" t="s">
        <v>320</v>
      </c>
      <c r="N7" s="26" t="s">
        <v>255</v>
      </c>
      <c r="O7" s="39"/>
      <c r="P7" s="39"/>
    </row>
    <row r="8" spans="1:16" ht="26.25" thickBot="1" x14ac:dyDescent="0.3">
      <c r="A8" s="97"/>
      <c r="B8" s="32" t="s">
        <v>321</v>
      </c>
      <c r="C8" s="21">
        <v>60</v>
      </c>
      <c r="D8" s="22">
        <v>100</v>
      </c>
      <c r="E8" s="34">
        <v>30</v>
      </c>
      <c r="F8" s="23">
        <v>40</v>
      </c>
      <c r="G8" s="35">
        <v>35</v>
      </c>
      <c r="H8" s="24">
        <v>45</v>
      </c>
      <c r="I8" s="36">
        <v>50</v>
      </c>
      <c r="J8" s="25">
        <v>100</v>
      </c>
      <c r="K8" s="37">
        <v>55</v>
      </c>
      <c r="L8" s="32">
        <v>15</v>
      </c>
      <c r="M8" s="32" t="s">
        <v>322</v>
      </c>
      <c r="N8" s="32" t="s">
        <v>255</v>
      </c>
      <c r="O8" s="38"/>
      <c r="P8" s="38"/>
    </row>
    <row r="9" spans="1:16" ht="26.25" thickBot="1" x14ac:dyDescent="0.3">
      <c r="A9" s="97"/>
      <c r="B9" s="26" t="s">
        <v>323</v>
      </c>
      <c r="C9" s="21">
        <v>60</v>
      </c>
      <c r="D9" s="22">
        <v>100</v>
      </c>
      <c r="E9" s="34">
        <v>30</v>
      </c>
      <c r="F9" s="23">
        <v>50</v>
      </c>
      <c r="G9" s="35">
        <v>35</v>
      </c>
      <c r="H9" s="24">
        <v>50</v>
      </c>
      <c r="I9" s="36">
        <v>70</v>
      </c>
      <c r="J9" s="25">
        <v>100</v>
      </c>
      <c r="K9" s="37">
        <v>60</v>
      </c>
      <c r="L9" s="26">
        <v>30</v>
      </c>
      <c r="M9" s="26" t="s">
        <v>320</v>
      </c>
      <c r="N9" s="26" t="s">
        <v>255</v>
      </c>
      <c r="O9" s="39"/>
      <c r="P9" s="39"/>
    </row>
    <row r="10" spans="1:16" ht="26.25" thickBot="1" x14ac:dyDescent="0.3">
      <c r="A10" s="98"/>
      <c r="B10" s="32" t="s">
        <v>324</v>
      </c>
      <c r="C10" s="21">
        <v>60</v>
      </c>
      <c r="D10" s="22">
        <v>100</v>
      </c>
      <c r="E10" s="34">
        <v>30</v>
      </c>
      <c r="F10" s="23">
        <v>50</v>
      </c>
      <c r="G10" s="35">
        <v>30</v>
      </c>
      <c r="H10" s="24">
        <v>65</v>
      </c>
      <c r="I10" s="36">
        <v>45</v>
      </c>
      <c r="J10" s="25">
        <v>100</v>
      </c>
      <c r="K10" s="37">
        <v>55</v>
      </c>
      <c r="L10" s="32">
        <v>30</v>
      </c>
      <c r="M10" s="32" t="s">
        <v>325</v>
      </c>
      <c r="N10" s="32" t="s">
        <v>326</v>
      </c>
      <c r="O10" s="38"/>
      <c r="P10" s="38"/>
    </row>
    <row r="11" spans="1:16" ht="18.75" customHeight="1" thickBot="1" x14ac:dyDescent="0.3">
      <c r="A11" s="96" t="s">
        <v>337</v>
      </c>
      <c r="B11" s="26" t="s">
        <v>298</v>
      </c>
      <c r="C11" s="27"/>
      <c r="D11" s="28"/>
      <c r="E11" s="40"/>
      <c r="F11" s="29"/>
      <c r="G11" s="41"/>
      <c r="H11" s="30"/>
      <c r="I11" s="42"/>
      <c r="J11" s="31"/>
      <c r="K11" s="43"/>
      <c r="L11" s="39"/>
      <c r="M11" s="39"/>
      <c r="N11" s="39"/>
      <c r="O11" s="39"/>
      <c r="P11" s="39"/>
    </row>
    <row r="12" spans="1:16" ht="26.25" thickBot="1" x14ac:dyDescent="0.3">
      <c r="A12" s="97"/>
      <c r="B12" s="32" t="s">
        <v>299</v>
      </c>
      <c r="C12" s="21">
        <v>90</v>
      </c>
      <c r="D12" s="22">
        <v>100</v>
      </c>
      <c r="E12" s="34">
        <v>50</v>
      </c>
      <c r="F12" s="23">
        <v>100</v>
      </c>
      <c r="G12" s="35">
        <v>90</v>
      </c>
      <c r="H12" s="24">
        <v>85</v>
      </c>
      <c r="I12" s="36">
        <v>75</v>
      </c>
      <c r="J12" s="25">
        <v>100</v>
      </c>
      <c r="K12" s="37">
        <v>80</v>
      </c>
      <c r="L12" s="32">
        <v>50</v>
      </c>
      <c r="M12" s="32" t="s">
        <v>327</v>
      </c>
      <c r="N12" s="32" t="s">
        <v>328</v>
      </c>
      <c r="O12" s="38"/>
      <c r="P12" s="38"/>
    </row>
    <row r="13" spans="1:16" ht="26.25" thickBot="1" x14ac:dyDescent="0.3">
      <c r="A13" s="97"/>
      <c r="B13" s="26" t="s">
        <v>329</v>
      </c>
      <c r="C13" s="21">
        <v>70</v>
      </c>
      <c r="D13" s="22">
        <v>100</v>
      </c>
      <c r="E13" s="34">
        <v>50</v>
      </c>
      <c r="F13" s="23">
        <v>80</v>
      </c>
      <c r="G13" s="35">
        <v>45</v>
      </c>
      <c r="H13" s="24">
        <v>65</v>
      </c>
      <c r="I13" s="36">
        <v>60</v>
      </c>
      <c r="J13" s="25">
        <v>100</v>
      </c>
      <c r="K13" s="37">
        <v>80</v>
      </c>
      <c r="L13" s="26">
        <v>30</v>
      </c>
      <c r="M13" s="26" t="s">
        <v>313</v>
      </c>
      <c r="N13" s="26" t="s">
        <v>330</v>
      </c>
      <c r="O13" s="39"/>
      <c r="P13" s="39"/>
    </row>
    <row r="14" spans="1:16" ht="26.25" thickBot="1" x14ac:dyDescent="0.3">
      <c r="A14" s="97"/>
      <c r="B14" s="32" t="s">
        <v>317</v>
      </c>
      <c r="C14" s="21">
        <v>75</v>
      </c>
      <c r="D14" s="22">
        <v>100</v>
      </c>
      <c r="E14" s="34">
        <v>45</v>
      </c>
      <c r="F14" s="23">
        <v>80</v>
      </c>
      <c r="G14" s="35">
        <v>65</v>
      </c>
      <c r="H14" s="24">
        <v>70</v>
      </c>
      <c r="I14" s="36">
        <v>65</v>
      </c>
      <c r="J14" s="25">
        <v>100</v>
      </c>
      <c r="K14" s="37">
        <v>70</v>
      </c>
      <c r="L14" s="32">
        <v>30</v>
      </c>
      <c r="M14" s="32" t="s">
        <v>313</v>
      </c>
      <c r="N14" s="32" t="s">
        <v>314</v>
      </c>
      <c r="O14" s="38"/>
      <c r="P14" s="38"/>
    </row>
    <row r="15" spans="1:16" ht="26.25" thickBot="1" x14ac:dyDescent="0.3">
      <c r="A15" s="97"/>
      <c r="B15" s="26" t="s">
        <v>287</v>
      </c>
      <c r="C15" s="21">
        <v>85</v>
      </c>
      <c r="D15" s="22">
        <v>100</v>
      </c>
      <c r="E15" s="34">
        <v>50</v>
      </c>
      <c r="F15" s="23">
        <v>90</v>
      </c>
      <c r="G15" s="35">
        <v>75</v>
      </c>
      <c r="H15" s="24">
        <v>65</v>
      </c>
      <c r="I15" s="36">
        <v>65</v>
      </c>
      <c r="J15" s="25">
        <v>100</v>
      </c>
      <c r="K15" s="37">
        <v>300</v>
      </c>
      <c r="L15" s="26">
        <v>30</v>
      </c>
      <c r="M15" s="26" t="s">
        <v>313</v>
      </c>
      <c r="N15" s="26" t="s">
        <v>330</v>
      </c>
      <c r="O15" s="39"/>
      <c r="P15" s="39"/>
    </row>
    <row r="16" spans="1:16" ht="26.25" thickBot="1" x14ac:dyDescent="0.3">
      <c r="A16" s="97"/>
      <c r="B16" s="32" t="s">
        <v>321</v>
      </c>
      <c r="C16" s="21">
        <v>75</v>
      </c>
      <c r="D16" s="22">
        <v>100</v>
      </c>
      <c r="E16" s="34">
        <v>40</v>
      </c>
      <c r="F16" s="23">
        <v>80</v>
      </c>
      <c r="G16" s="35">
        <v>55</v>
      </c>
      <c r="H16" s="24">
        <v>65</v>
      </c>
      <c r="I16" s="36">
        <v>65</v>
      </c>
      <c r="J16" s="25">
        <v>100</v>
      </c>
      <c r="K16" s="37">
        <v>70</v>
      </c>
      <c r="L16" s="32">
        <v>30</v>
      </c>
      <c r="M16" s="32" t="s">
        <v>313</v>
      </c>
      <c r="N16" s="32" t="s">
        <v>330</v>
      </c>
      <c r="O16" s="38"/>
      <c r="P16" s="38"/>
    </row>
    <row r="17" spans="1:16" ht="26.25" thickBot="1" x14ac:dyDescent="0.3">
      <c r="A17" s="97"/>
      <c r="B17" s="26" t="s">
        <v>315</v>
      </c>
      <c r="C17" s="21">
        <v>75</v>
      </c>
      <c r="D17" s="22">
        <v>100</v>
      </c>
      <c r="E17" s="34">
        <v>45</v>
      </c>
      <c r="F17" s="23">
        <v>80</v>
      </c>
      <c r="G17" s="35">
        <v>45</v>
      </c>
      <c r="H17" s="24">
        <v>70</v>
      </c>
      <c r="I17" s="36">
        <v>60</v>
      </c>
      <c r="J17" s="25">
        <v>100</v>
      </c>
      <c r="K17" s="37">
        <v>70</v>
      </c>
      <c r="L17" s="26">
        <v>30</v>
      </c>
      <c r="M17" s="26" t="s">
        <v>313</v>
      </c>
      <c r="N17" s="26" t="s">
        <v>331</v>
      </c>
      <c r="O17" s="39"/>
      <c r="P17" s="39"/>
    </row>
    <row r="18" spans="1:16" ht="26.25" thickBot="1" x14ac:dyDescent="0.3">
      <c r="A18" s="98"/>
      <c r="B18" s="32" t="s">
        <v>324</v>
      </c>
      <c r="C18" s="21">
        <v>70</v>
      </c>
      <c r="D18" s="22">
        <v>100</v>
      </c>
      <c r="E18" s="34">
        <v>40</v>
      </c>
      <c r="F18" s="23">
        <v>80</v>
      </c>
      <c r="G18" s="35">
        <v>45</v>
      </c>
      <c r="H18" s="24">
        <v>85</v>
      </c>
      <c r="I18" s="36">
        <v>55</v>
      </c>
      <c r="J18" s="25">
        <v>100</v>
      </c>
      <c r="K18" s="37">
        <v>60</v>
      </c>
      <c r="L18" s="32">
        <v>30</v>
      </c>
      <c r="M18" s="32" t="s">
        <v>332</v>
      </c>
      <c r="N18" s="32" t="s">
        <v>333</v>
      </c>
      <c r="O18" s="38"/>
      <c r="P18" s="38"/>
    </row>
  </sheetData>
  <mergeCells count="2">
    <mergeCell ref="A3:A10"/>
    <mergeCell ref="A11:A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18DE-CCD8-4ABA-9B3B-CCD73CA8C93E}">
  <dimension ref="A1:I49"/>
  <sheetViews>
    <sheetView workbookViewId="0">
      <pane ySplit="1" topLeftCell="A35" activePane="bottomLeft" state="frozen"/>
      <selection pane="bottomLeft" activeCell="G25" sqref="G25"/>
    </sheetView>
  </sheetViews>
  <sheetFormatPr defaultRowHeight="15" x14ac:dyDescent="0.25"/>
  <cols>
    <col min="2" max="2" width="12.140625" customWidth="1"/>
    <col min="3" max="3" width="12" customWidth="1"/>
    <col min="4" max="4" width="16.5703125" customWidth="1"/>
    <col min="5" max="5" width="43.140625" customWidth="1"/>
    <col min="6" max="6" width="53.7109375" customWidth="1"/>
    <col min="7" max="7" width="46.28515625" customWidth="1"/>
    <col min="8" max="8" width="14.42578125" customWidth="1"/>
    <col min="9" max="9" width="30.140625" customWidth="1"/>
  </cols>
  <sheetData>
    <row r="1" spans="1:9" ht="15.75" thickBot="1" x14ac:dyDescent="0.3">
      <c r="A1" s="44" t="s">
        <v>334</v>
      </c>
      <c r="B1" s="44" t="s">
        <v>338</v>
      </c>
      <c r="C1" s="44" t="s">
        <v>339</v>
      </c>
      <c r="D1" s="44" t="s">
        <v>340</v>
      </c>
      <c r="E1" s="44" t="s">
        <v>341</v>
      </c>
      <c r="F1" s="44" t="s">
        <v>342</v>
      </c>
      <c r="G1" s="44" t="s">
        <v>343</v>
      </c>
      <c r="H1" s="44" t="s">
        <v>237</v>
      </c>
      <c r="I1" s="48"/>
    </row>
    <row r="2" spans="1:9" ht="17.25" customHeight="1" thickBot="1" x14ac:dyDescent="0.3">
      <c r="A2" s="102" t="s">
        <v>384</v>
      </c>
      <c r="B2" s="102" t="s">
        <v>298</v>
      </c>
      <c r="C2" s="102" t="s">
        <v>298</v>
      </c>
      <c r="D2" s="45" t="s">
        <v>344</v>
      </c>
      <c r="E2" s="45" t="s">
        <v>468</v>
      </c>
      <c r="F2" s="45" t="s">
        <v>468</v>
      </c>
      <c r="G2" s="45" t="s">
        <v>345</v>
      </c>
      <c r="H2" s="102" t="s">
        <v>346</v>
      </c>
      <c r="I2" s="62"/>
    </row>
    <row r="3" spans="1:9" ht="16.5" customHeight="1" thickBot="1" x14ac:dyDescent="0.3">
      <c r="A3" s="100"/>
      <c r="B3" s="100"/>
      <c r="C3" s="100"/>
      <c r="D3" s="46" t="s">
        <v>347</v>
      </c>
      <c r="E3" s="46" t="s">
        <v>469</v>
      </c>
      <c r="F3" s="46" t="s">
        <v>469</v>
      </c>
      <c r="G3" s="46" t="s">
        <v>470</v>
      </c>
      <c r="H3" s="100"/>
    </row>
    <row r="4" spans="1:9" ht="16.5" customHeight="1" x14ac:dyDescent="0.25">
      <c r="A4" s="100"/>
      <c r="B4" s="100"/>
      <c r="C4" s="100"/>
      <c r="D4" s="60" t="s">
        <v>348</v>
      </c>
      <c r="E4" s="60" t="s">
        <v>585</v>
      </c>
      <c r="F4" s="60" t="s">
        <v>584</v>
      </c>
      <c r="G4" s="60" t="s">
        <v>586</v>
      </c>
      <c r="H4" s="100"/>
    </row>
    <row r="5" spans="1:9" ht="17.25" customHeight="1" thickBot="1" x14ac:dyDescent="0.3">
      <c r="A5" s="100"/>
      <c r="B5" s="99" t="s">
        <v>299</v>
      </c>
      <c r="C5" s="99" t="s">
        <v>299</v>
      </c>
      <c r="D5" s="61" t="s">
        <v>344</v>
      </c>
      <c r="E5" s="61" t="s">
        <v>573</v>
      </c>
      <c r="F5" s="61" t="s">
        <v>574</v>
      </c>
      <c r="G5" s="61" t="s">
        <v>575</v>
      </c>
      <c r="H5" s="99" t="s">
        <v>346</v>
      </c>
    </row>
    <row r="6" spans="1:9" ht="16.5" customHeight="1" thickBot="1" x14ac:dyDescent="0.3">
      <c r="A6" s="100"/>
      <c r="B6" s="100"/>
      <c r="C6" s="100"/>
      <c r="D6" s="46" t="s">
        <v>347</v>
      </c>
      <c r="E6" s="46" t="s">
        <v>475</v>
      </c>
      <c r="F6" s="46" t="s">
        <v>477</v>
      </c>
      <c r="G6" s="46" t="s">
        <v>570</v>
      </c>
      <c r="H6" s="100"/>
    </row>
    <row r="7" spans="1:9" ht="18.75" customHeight="1" x14ac:dyDescent="0.25">
      <c r="A7" s="100"/>
      <c r="B7" s="103"/>
      <c r="C7" s="103"/>
      <c r="D7" s="59" t="s">
        <v>348</v>
      </c>
      <c r="E7" s="59" t="s">
        <v>474</v>
      </c>
      <c r="F7" s="59" t="s">
        <v>476</v>
      </c>
      <c r="G7" s="59" t="s">
        <v>576</v>
      </c>
      <c r="H7" s="103"/>
    </row>
    <row r="8" spans="1:9" ht="17.25" customHeight="1" thickBot="1" x14ac:dyDescent="0.3">
      <c r="A8" s="100"/>
      <c r="B8" s="99" t="s">
        <v>352</v>
      </c>
      <c r="C8" s="99" t="s">
        <v>315</v>
      </c>
      <c r="D8" s="61" t="s">
        <v>344</v>
      </c>
      <c r="E8" s="61" t="s">
        <v>478</v>
      </c>
      <c r="F8" s="61" t="s">
        <v>479</v>
      </c>
      <c r="G8" s="61" t="s">
        <v>220</v>
      </c>
      <c r="H8" s="99" t="s">
        <v>353</v>
      </c>
    </row>
    <row r="9" spans="1:9" ht="16.5" customHeight="1" thickBot="1" x14ac:dyDescent="0.3">
      <c r="A9" s="100"/>
      <c r="B9" s="100"/>
      <c r="C9" s="100"/>
      <c r="D9" s="46" t="s">
        <v>347</v>
      </c>
      <c r="E9" s="46" t="s">
        <v>350</v>
      </c>
      <c r="F9" s="46" t="s">
        <v>553</v>
      </c>
      <c r="G9" s="46" t="s">
        <v>561</v>
      </c>
      <c r="H9" s="100"/>
    </row>
    <row r="10" spans="1:9" ht="16.5" customHeight="1" x14ac:dyDescent="0.25">
      <c r="A10" s="100"/>
      <c r="B10" s="103"/>
      <c r="C10" s="103"/>
      <c r="D10" s="59" t="s">
        <v>348</v>
      </c>
      <c r="E10" s="59" t="s">
        <v>351</v>
      </c>
      <c r="F10" s="59" t="s">
        <v>562</v>
      </c>
      <c r="G10" s="59" t="s">
        <v>480</v>
      </c>
      <c r="H10" s="103"/>
    </row>
    <row r="11" spans="1:9" ht="17.25" customHeight="1" thickBot="1" x14ac:dyDescent="0.3">
      <c r="A11" s="100"/>
      <c r="B11" s="99" t="s">
        <v>354</v>
      </c>
      <c r="C11" s="99" t="s">
        <v>317</v>
      </c>
      <c r="D11" s="61" t="s">
        <v>344</v>
      </c>
      <c r="E11" s="61" t="s">
        <v>457</v>
      </c>
      <c r="F11" s="61" t="s">
        <v>457</v>
      </c>
      <c r="G11" s="61" t="s">
        <v>550</v>
      </c>
      <c r="H11" s="99" t="s">
        <v>355</v>
      </c>
    </row>
    <row r="12" spans="1:9" ht="17.25" customHeight="1" thickBot="1" x14ac:dyDescent="0.3">
      <c r="A12" s="100"/>
      <c r="B12" s="100"/>
      <c r="C12" s="100"/>
      <c r="D12" s="46" t="s">
        <v>347</v>
      </c>
      <c r="E12" s="46" t="s">
        <v>203</v>
      </c>
      <c r="F12" s="46" t="s">
        <v>472</v>
      </c>
      <c r="G12" s="46" t="s">
        <v>473</v>
      </c>
      <c r="H12" s="100"/>
    </row>
    <row r="13" spans="1:9" ht="17.25" customHeight="1" x14ac:dyDescent="0.25">
      <c r="A13" s="100"/>
      <c r="B13" s="100"/>
      <c r="C13" s="100"/>
      <c r="D13" s="60" t="s">
        <v>348</v>
      </c>
      <c r="E13" s="60" t="s">
        <v>356</v>
      </c>
      <c r="F13" s="60" t="s">
        <v>351</v>
      </c>
      <c r="G13" s="60" t="s">
        <v>349</v>
      </c>
      <c r="H13" s="100"/>
    </row>
    <row r="14" spans="1:9" ht="17.25" customHeight="1" thickBot="1" x14ac:dyDescent="0.3">
      <c r="A14" s="100"/>
      <c r="B14" s="99" t="s">
        <v>357</v>
      </c>
      <c r="C14" s="99" t="s">
        <v>319</v>
      </c>
      <c r="D14" s="61" t="s">
        <v>344</v>
      </c>
      <c r="E14" s="61" t="s">
        <v>463</v>
      </c>
      <c r="F14" s="61" t="s">
        <v>463</v>
      </c>
      <c r="G14" s="61" t="s">
        <v>461</v>
      </c>
      <c r="H14" s="99" t="s">
        <v>346</v>
      </c>
    </row>
    <row r="15" spans="1:9" ht="18.75" customHeight="1" thickBot="1" x14ac:dyDescent="0.3">
      <c r="A15" s="100"/>
      <c r="B15" s="100"/>
      <c r="C15" s="100"/>
      <c r="D15" s="46" t="s">
        <v>347</v>
      </c>
      <c r="E15" s="46" t="s">
        <v>462</v>
      </c>
      <c r="F15" s="46" t="s">
        <v>460</v>
      </c>
      <c r="G15" s="46" t="s">
        <v>568</v>
      </c>
      <c r="H15" s="100"/>
    </row>
    <row r="16" spans="1:9" ht="18" customHeight="1" x14ac:dyDescent="0.25">
      <c r="A16" s="100"/>
      <c r="B16" s="103"/>
      <c r="C16" s="103"/>
      <c r="D16" s="59" t="s">
        <v>348</v>
      </c>
      <c r="E16" s="59" t="s">
        <v>529</v>
      </c>
      <c r="F16" s="59" t="s">
        <v>459</v>
      </c>
      <c r="G16" s="59" t="s">
        <v>569</v>
      </c>
      <c r="H16" s="103"/>
    </row>
    <row r="17" spans="1:8" ht="20.25" customHeight="1" thickBot="1" x14ac:dyDescent="0.3">
      <c r="A17" s="100"/>
      <c r="B17" s="99" t="s">
        <v>358</v>
      </c>
      <c r="C17" s="99" t="s">
        <v>321</v>
      </c>
      <c r="D17" s="61" t="s">
        <v>344</v>
      </c>
      <c r="E17" s="61" t="s">
        <v>11</v>
      </c>
      <c r="F17" s="61" t="s">
        <v>111</v>
      </c>
      <c r="G17" s="61" t="s">
        <v>111</v>
      </c>
      <c r="H17" s="99" t="s">
        <v>353</v>
      </c>
    </row>
    <row r="18" spans="1:8" ht="18" customHeight="1" thickBot="1" x14ac:dyDescent="0.3">
      <c r="A18" s="100"/>
      <c r="B18" s="100"/>
      <c r="C18" s="100"/>
      <c r="D18" s="46" t="s">
        <v>347</v>
      </c>
      <c r="E18" s="46" t="s">
        <v>549</v>
      </c>
      <c r="F18" s="46" t="s">
        <v>593</v>
      </c>
      <c r="G18" s="46" t="s">
        <v>593</v>
      </c>
      <c r="H18" s="100"/>
    </row>
    <row r="19" spans="1:8" ht="17.25" customHeight="1" x14ac:dyDescent="0.25">
      <c r="A19" s="100"/>
      <c r="B19" s="103"/>
      <c r="C19" s="103"/>
      <c r="D19" s="59" t="s">
        <v>348</v>
      </c>
      <c r="E19" s="59" t="s">
        <v>458</v>
      </c>
      <c r="F19" s="59" t="s">
        <v>528</v>
      </c>
      <c r="G19" s="59" t="s">
        <v>528</v>
      </c>
      <c r="H19" s="103"/>
    </row>
    <row r="20" spans="1:8" ht="16.5" customHeight="1" thickBot="1" x14ac:dyDescent="0.3">
      <c r="A20" s="100"/>
      <c r="B20" s="99" t="s">
        <v>359</v>
      </c>
      <c r="C20" s="99" t="s">
        <v>323</v>
      </c>
      <c r="D20" s="61" t="s">
        <v>344</v>
      </c>
      <c r="E20" s="61" t="s">
        <v>360</v>
      </c>
      <c r="F20" s="61" t="s">
        <v>537</v>
      </c>
      <c r="G20" s="61" t="s">
        <v>361</v>
      </c>
      <c r="H20" s="99" t="s">
        <v>353</v>
      </c>
    </row>
    <row r="21" spans="1:8" ht="16.5" customHeight="1" thickBot="1" x14ac:dyDescent="0.3">
      <c r="A21" s="100"/>
      <c r="B21" s="100"/>
      <c r="C21" s="100"/>
      <c r="D21" s="46" t="s">
        <v>347</v>
      </c>
      <c r="E21" s="46" t="s">
        <v>548</v>
      </c>
      <c r="F21" s="46" t="s">
        <v>537</v>
      </c>
      <c r="G21" s="46" t="s">
        <v>361</v>
      </c>
      <c r="H21" s="100"/>
    </row>
    <row r="22" spans="1:8" ht="15.75" customHeight="1" thickBot="1" x14ac:dyDescent="0.3">
      <c r="A22" s="100"/>
      <c r="B22" s="100"/>
      <c r="C22" s="100"/>
      <c r="D22" s="60" t="s">
        <v>348</v>
      </c>
      <c r="E22" s="60" t="s">
        <v>362</v>
      </c>
      <c r="F22" s="60" t="s">
        <v>363</v>
      </c>
      <c r="G22" s="60" t="s">
        <v>364</v>
      </c>
      <c r="H22" s="101"/>
    </row>
    <row r="23" spans="1:8" ht="16.5" customHeight="1" thickBot="1" x14ac:dyDescent="0.3">
      <c r="A23" s="100"/>
      <c r="B23" s="99" t="s">
        <v>365</v>
      </c>
      <c r="C23" s="99" t="s">
        <v>324</v>
      </c>
      <c r="D23" s="61" t="s">
        <v>344</v>
      </c>
      <c r="E23" s="61" t="s">
        <v>148</v>
      </c>
      <c r="F23" s="61" t="s">
        <v>596</v>
      </c>
      <c r="G23" s="61" t="s">
        <v>595</v>
      </c>
      <c r="H23" s="102" t="s">
        <v>353</v>
      </c>
    </row>
    <row r="24" spans="1:8" ht="15" customHeight="1" thickBot="1" x14ac:dyDescent="0.3">
      <c r="A24" s="100"/>
      <c r="B24" s="100"/>
      <c r="C24" s="100"/>
      <c r="D24" s="46" t="s">
        <v>347</v>
      </c>
      <c r="E24" s="65" t="s">
        <v>544</v>
      </c>
      <c r="F24" s="46" t="s">
        <v>597</v>
      </c>
      <c r="G24" s="46" t="s">
        <v>466</v>
      </c>
      <c r="H24" s="100"/>
    </row>
    <row r="25" spans="1:8" ht="15.75" customHeight="1" thickBot="1" x14ac:dyDescent="0.3">
      <c r="A25" s="101"/>
      <c r="B25" s="101"/>
      <c r="C25" s="101"/>
      <c r="D25" s="47" t="s">
        <v>348</v>
      </c>
      <c r="E25" s="47" t="s">
        <v>543</v>
      </c>
      <c r="F25" s="47" t="s">
        <v>464</v>
      </c>
      <c r="G25" s="47" t="s">
        <v>465</v>
      </c>
      <c r="H25" s="101"/>
    </row>
    <row r="26" spans="1:8" ht="16.5" customHeight="1" thickBot="1" x14ac:dyDescent="0.3">
      <c r="A26" s="102" t="s">
        <v>337</v>
      </c>
      <c r="B26" s="102" t="s">
        <v>298</v>
      </c>
      <c r="C26" s="102" t="s">
        <v>298</v>
      </c>
      <c r="D26" s="45" t="s">
        <v>344</v>
      </c>
      <c r="E26" s="104"/>
      <c r="F26" s="105"/>
      <c r="G26" s="106"/>
      <c r="H26" s="107"/>
    </row>
    <row r="27" spans="1:8" ht="16.5" customHeight="1" thickBot="1" x14ac:dyDescent="0.3">
      <c r="A27" s="100"/>
      <c r="B27" s="100"/>
      <c r="C27" s="100"/>
      <c r="D27" s="46" t="s">
        <v>347</v>
      </c>
      <c r="E27" s="104"/>
      <c r="F27" s="105"/>
      <c r="G27" s="106"/>
      <c r="H27" s="108"/>
    </row>
    <row r="28" spans="1:8" ht="15.75" customHeight="1" x14ac:dyDescent="0.25">
      <c r="A28" s="100"/>
      <c r="B28" s="100"/>
      <c r="C28" s="100"/>
      <c r="D28" s="60" t="s">
        <v>348</v>
      </c>
      <c r="E28" s="109"/>
      <c r="F28" s="110"/>
      <c r="G28" s="111"/>
      <c r="H28" s="108"/>
    </row>
    <row r="29" spans="1:8" ht="16.5" customHeight="1" thickBot="1" x14ac:dyDescent="0.3">
      <c r="A29" s="100"/>
      <c r="B29" s="99" t="s">
        <v>299</v>
      </c>
      <c r="C29" s="99" t="s">
        <v>299</v>
      </c>
      <c r="D29" s="61" t="s">
        <v>344</v>
      </c>
      <c r="E29" s="75" t="s">
        <v>515</v>
      </c>
      <c r="F29" s="64" t="s">
        <v>516</v>
      </c>
      <c r="G29" s="76" t="s">
        <v>451</v>
      </c>
      <c r="H29" s="99" t="s">
        <v>346</v>
      </c>
    </row>
    <row r="30" spans="1:8" ht="16.5" customHeight="1" thickBot="1" x14ac:dyDescent="0.3">
      <c r="A30" s="100"/>
      <c r="B30" s="100"/>
      <c r="C30" s="100"/>
      <c r="D30" s="46" t="s">
        <v>347</v>
      </c>
      <c r="E30" s="79" t="s">
        <v>514</v>
      </c>
      <c r="F30" s="71" t="s">
        <v>517</v>
      </c>
      <c r="G30" s="77" t="s">
        <v>209</v>
      </c>
      <c r="H30" s="100"/>
    </row>
    <row r="31" spans="1:8" ht="17.25" customHeight="1" x14ac:dyDescent="0.25">
      <c r="A31" s="100"/>
      <c r="B31" s="103"/>
      <c r="C31" s="103"/>
      <c r="D31" s="59" t="s">
        <v>348</v>
      </c>
      <c r="E31" s="78" t="s">
        <v>579</v>
      </c>
      <c r="F31" s="74" t="s">
        <v>578</v>
      </c>
      <c r="G31" s="78" t="s">
        <v>577</v>
      </c>
      <c r="H31" s="103"/>
    </row>
    <row r="32" spans="1:8" ht="18" customHeight="1" thickBot="1" x14ac:dyDescent="0.3">
      <c r="A32" s="100"/>
      <c r="B32" s="100" t="s">
        <v>352</v>
      </c>
      <c r="C32" s="100" t="s">
        <v>329</v>
      </c>
      <c r="D32" s="58" t="s">
        <v>344</v>
      </c>
      <c r="E32" s="73" t="s">
        <v>509</v>
      </c>
      <c r="F32" s="80" t="s">
        <v>510</v>
      </c>
      <c r="G32" s="73" t="s">
        <v>511</v>
      </c>
      <c r="H32" s="100" t="s">
        <v>346</v>
      </c>
    </row>
    <row r="33" spans="1:8" ht="18" customHeight="1" thickBot="1" x14ac:dyDescent="0.3">
      <c r="A33" s="100"/>
      <c r="B33" s="100"/>
      <c r="C33" s="100"/>
      <c r="D33" s="46" t="s">
        <v>347</v>
      </c>
      <c r="E33" s="79" t="s">
        <v>508</v>
      </c>
      <c r="F33" s="71" t="s">
        <v>512</v>
      </c>
      <c r="G33" s="79" t="s">
        <v>512</v>
      </c>
      <c r="H33" s="100"/>
    </row>
    <row r="34" spans="1:8" ht="17.25" customHeight="1" x14ac:dyDescent="0.25">
      <c r="A34" s="100"/>
      <c r="B34" s="100"/>
      <c r="C34" s="100"/>
      <c r="D34" s="60" t="s">
        <v>348</v>
      </c>
      <c r="E34" s="67" t="s">
        <v>506</v>
      </c>
      <c r="F34" s="81" t="s">
        <v>507</v>
      </c>
      <c r="G34" s="67" t="s">
        <v>513</v>
      </c>
      <c r="H34" s="100"/>
    </row>
    <row r="35" spans="1:8" ht="17.25" customHeight="1" thickBot="1" x14ac:dyDescent="0.3">
      <c r="A35" s="100"/>
      <c r="B35" s="99" t="s">
        <v>354</v>
      </c>
      <c r="C35" s="99" t="s">
        <v>317</v>
      </c>
      <c r="D35" s="61" t="s">
        <v>344</v>
      </c>
      <c r="E35" s="75" t="s">
        <v>495</v>
      </c>
      <c r="F35" s="75" t="s">
        <v>493</v>
      </c>
      <c r="G35" s="75" t="s">
        <v>493</v>
      </c>
      <c r="H35" s="99" t="s">
        <v>346</v>
      </c>
    </row>
    <row r="36" spans="1:8" ht="16.5" customHeight="1" thickBot="1" x14ac:dyDescent="0.3">
      <c r="A36" s="100"/>
      <c r="B36" s="100"/>
      <c r="C36" s="100"/>
      <c r="D36" s="46" t="s">
        <v>347</v>
      </c>
      <c r="E36" s="79" t="s">
        <v>496</v>
      </c>
      <c r="F36" s="79" t="s">
        <v>492</v>
      </c>
      <c r="G36" s="79" t="s">
        <v>492</v>
      </c>
      <c r="H36" s="100"/>
    </row>
    <row r="37" spans="1:8" ht="18" customHeight="1" x14ac:dyDescent="0.25">
      <c r="A37" s="100"/>
      <c r="B37" s="100"/>
      <c r="C37" s="100"/>
      <c r="D37" s="60" t="s">
        <v>348</v>
      </c>
      <c r="E37" s="90" t="s">
        <v>471</v>
      </c>
      <c r="F37" s="90" t="s">
        <v>494</v>
      </c>
      <c r="G37" s="90" t="s">
        <v>494</v>
      </c>
      <c r="H37" s="100"/>
    </row>
    <row r="38" spans="1:8" ht="18.75" customHeight="1" thickBot="1" x14ac:dyDescent="0.3">
      <c r="A38" s="100"/>
      <c r="B38" s="99" t="s">
        <v>357</v>
      </c>
      <c r="C38" s="99" t="s">
        <v>287</v>
      </c>
      <c r="D38" s="61" t="s">
        <v>344</v>
      </c>
      <c r="E38" s="63" t="s">
        <v>488</v>
      </c>
      <c r="F38" s="85" t="s">
        <v>487</v>
      </c>
      <c r="G38" s="63" t="s">
        <v>551</v>
      </c>
      <c r="H38" s="99" t="s">
        <v>366</v>
      </c>
    </row>
    <row r="39" spans="1:8" ht="17.25" customHeight="1" thickBot="1" x14ac:dyDescent="0.3">
      <c r="A39" s="100"/>
      <c r="B39" s="100"/>
      <c r="C39" s="100"/>
      <c r="D39" s="46" t="s">
        <v>347</v>
      </c>
      <c r="E39" s="79" t="s">
        <v>489</v>
      </c>
      <c r="F39" s="71" t="s">
        <v>490</v>
      </c>
      <c r="G39" s="79" t="s">
        <v>490</v>
      </c>
      <c r="H39" s="100"/>
    </row>
    <row r="40" spans="1:8" ht="18" customHeight="1" x14ac:dyDescent="0.25">
      <c r="A40" s="100"/>
      <c r="B40" s="100"/>
      <c r="C40" s="100"/>
      <c r="D40" s="60" t="s">
        <v>348</v>
      </c>
      <c r="E40" s="67" t="s">
        <v>530</v>
      </c>
      <c r="F40" s="81" t="s">
        <v>491</v>
      </c>
      <c r="G40" s="67" t="s">
        <v>491</v>
      </c>
      <c r="H40" s="100"/>
    </row>
    <row r="41" spans="1:8" ht="18" customHeight="1" thickBot="1" x14ac:dyDescent="0.3">
      <c r="A41" s="100"/>
      <c r="B41" s="99" t="s">
        <v>358</v>
      </c>
      <c r="C41" s="99" t="s">
        <v>321</v>
      </c>
      <c r="D41" s="61" t="s">
        <v>344</v>
      </c>
      <c r="E41" s="86" t="s">
        <v>481</v>
      </c>
      <c r="F41" s="80" t="s">
        <v>485</v>
      </c>
      <c r="G41" s="86" t="s">
        <v>547</v>
      </c>
      <c r="H41" s="99" t="s">
        <v>346</v>
      </c>
    </row>
    <row r="42" spans="1:8" ht="16.5" customHeight="1" thickBot="1" x14ac:dyDescent="0.3">
      <c r="A42" s="100"/>
      <c r="B42" s="100"/>
      <c r="C42" s="100"/>
      <c r="D42" s="46" t="s">
        <v>347</v>
      </c>
      <c r="E42" s="87" t="s">
        <v>482</v>
      </c>
      <c r="F42" s="88" t="s">
        <v>486</v>
      </c>
      <c r="G42" s="87" t="s">
        <v>546</v>
      </c>
      <c r="H42" s="100"/>
    </row>
    <row r="43" spans="1:8" ht="16.5" customHeight="1" x14ac:dyDescent="0.25">
      <c r="A43" s="100"/>
      <c r="B43" s="100"/>
      <c r="C43" s="100"/>
      <c r="D43" s="60" t="s">
        <v>348</v>
      </c>
      <c r="E43" s="67" t="s">
        <v>483</v>
      </c>
      <c r="F43" s="89" t="s">
        <v>484</v>
      </c>
      <c r="G43" s="67" t="s">
        <v>545</v>
      </c>
      <c r="H43" s="100"/>
    </row>
    <row r="44" spans="1:8" ht="18" customHeight="1" thickBot="1" x14ac:dyDescent="0.3">
      <c r="A44" s="100"/>
      <c r="B44" s="99" t="s">
        <v>359</v>
      </c>
      <c r="C44" s="99" t="s">
        <v>315</v>
      </c>
      <c r="D44" s="61" t="s">
        <v>344</v>
      </c>
      <c r="E44" s="68" t="s">
        <v>504</v>
      </c>
      <c r="F44" s="82" t="s">
        <v>505</v>
      </c>
      <c r="G44" s="68" t="s">
        <v>505</v>
      </c>
      <c r="H44" s="99" t="s">
        <v>587</v>
      </c>
    </row>
    <row r="45" spans="1:8" ht="18" customHeight="1" thickBot="1" x14ac:dyDescent="0.3">
      <c r="A45" s="100"/>
      <c r="B45" s="100"/>
      <c r="C45" s="100"/>
      <c r="D45" s="66" t="s">
        <v>347</v>
      </c>
      <c r="E45" s="69" t="s">
        <v>554</v>
      </c>
      <c r="F45" s="69" t="s">
        <v>565</v>
      </c>
      <c r="G45" s="69" t="s">
        <v>566</v>
      </c>
      <c r="H45" s="100"/>
    </row>
    <row r="46" spans="1:8" ht="16.5" customHeight="1" x14ac:dyDescent="0.25">
      <c r="A46" s="100"/>
      <c r="B46" s="100"/>
      <c r="C46" s="100"/>
      <c r="D46" s="60" t="s">
        <v>348</v>
      </c>
      <c r="E46" s="67" t="s">
        <v>563</v>
      </c>
      <c r="F46" s="81" t="s">
        <v>564</v>
      </c>
      <c r="G46" s="67" t="s">
        <v>567</v>
      </c>
      <c r="H46" s="100"/>
    </row>
    <row r="47" spans="1:8" ht="18" customHeight="1" thickBot="1" x14ac:dyDescent="0.3">
      <c r="A47" s="100"/>
      <c r="B47" s="99" t="s">
        <v>365</v>
      </c>
      <c r="C47" s="99" t="s">
        <v>324</v>
      </c>
      <c r="D47" s="61" t="s">
        <v>344</v>
      </c>
      <c r="E47" s="63" t="s">
        <v>158</v>
      </c>
      <c r="F47" s="80" t="s">
        <v>502</v>
      </c>
      <c r="G47" s="63" t="s">
        <v>467</v>
      </c>
      <c r="H47" s="99" t="s">
        <v>346</v>
      </c>
    </row>
    <row r="48" spans="1:8" ht="17.25" customHeight="1" thickBot="1" x14ac:dyDescent="0.3">
      <c r="A48" s="100"/>
      <c r="B48" s="100"/>
      <c r="C48" s="100"/>
      <c r="D48" s="46" t="s">
        <v>347</v>
      </c>
      <c r="E48" s="70" t="s">
        <v>499</v>
      </c>
      <c r="F48" s="83" t="s">
        <v>503</v>
      </c>
      <c r="G48" s="70" t="s">
        <v>497</v>
      </c>
      <c r="H48" s="100"/>
    </row>
    <row r="49" spans="1:8" ht="16.5" customHeight="1" thickBot="1" x14ac:dyDescent="0.3">
      <c r="A49" s="101"/>
      <c r="B49" s="101"/>
      <c r="C49" s="101"/>
      <c r="D49" s="47" t="s">
        <v>348</v>
      </c>
      <c r="E49" s="84" t="s">
        <v>500</v>
      </c>
      <c r="F49" s="72" t="s">
        <v>501</v>
      </c>
      <c r="G49" s="84" t="s">
        <v>498</v>
      </c>
      <c r="H49" s="101"/>
    </row>
  </sheetData>
  <mergeCells count="53">
    <mergeCell ref="B14:B16"/>
    <mergeCell ref="C14:C16"/>
    <mergeCell ref="H14:H16"/>
    <mergeCell ref="B17:B19"/>
    <mergeCell ref="C8:C10"/>
    <mergeCell ref="H8:H10"/>
    <mergeCell ref="B11:B13"/>
    <mergeCell ref="C11:C13"/>
    <mergeCell ref="H11:H13"/>
    <mergeCell ref="A26:A49"/>
    <mergeCell ref="B26:B28"/>
    <mergeCell ref="C26:C28"/>
    <mergeCell ref="E26:G26"/>
    <mergeCell ref="H26:H28"/>
    <mergeCell ref="E27:G27"/>
    <mergeCell ref="E28:G28"/>
    <mergeCell ref="B29:B31"/>
    <mergeCell ref="C29:C31"/>
    <mergeCell ref="H29:H31"/>
    <mergeCell ref="B32:B34"/>
    <mergeCell ref="C32:C34"/>
    <mergeCell ref="H32:H34"/>
    <mergeCell ref="B35:B37"/>
    <mergeCell ref="C35:C37"/>
    <mergeCell ref="H35:H37"/>
    <mergeCell ref="A2:A25"/>
    <mergeCell ref="B2:B4"/>
    <mergeCell ref="C2:C4"/>
    <mergeCell ref="H2:H4"/>
    <mergeCell ref="B5:B7"/>
    <mergeCell ref="C5:C7"/>
    <mergeCell ref="B20:B22"/>
    <mergeCell ref="C20:C22"/>
    <mergeCell ref="H20:H22"/>
    <mergeCell ref="B23:B25"/>
    <mergeCell ref="C23:C25"/>
    <mergeCell ref="H23:H25"/>
    <mergeCell ref="C17:C19"/>
    <mergeCell ref="H17:H19"/>
    <mergeCell ref="H5:H7"/>
    <mergeCell ref="B8:B10"/>
    <mergeCell ref="B41:B43"/>
    <mergeCell ref="C41:C43"/>
    <mergeCell ref="H41:H43"/>
    <mergeCell ref="B38:B40"/>
    <mergeCell ref="C38:C40"/>
    <mergeCell ref="H38:H40"/>
    <mergeCell ref="B47:B49"/>
    <mergeCell ref="C47:C49"/>
    <mergeCell ref="H47:H49"/>
    <mergeCell ref="B44:B46"/>
    <mergeCell ref="C44:C46"/>
    <mergeCell ref="H44:H4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BAE7-4B1E-4B8C-8AF9-C5EAA5B2467F}">
  <dimension ref="A1:P9"/>
  <sheetViews>
    <sheetView workbookViewId="0">
      <selection activeCell="I21" sqref="I21"/>
    </sheetView>
  </sheetViews>
  <sheetFormatPr defaultRowHeight="15" x14ac:dyDescent="0.25"/>
  <cols>
    <col min="1" max="1" width="18.85546875" customWidth="1"/>
    <col min="2" max="2" width="8.42578125" customWidth="1"/>
    <col min="5" max="5" width="13" customWidth="1"/>
    <col min="7" max="7" width="12.42578125" customWidth="1"/>
    <col min="9" max="9" width="13.85546875" customWidth="1"/>
    <col min="11" max="11" width="15.140625" customWidth="1"/>
    <col min="12" max="12" width="10.85546875" customWidth="1"/>
    <col min="14" max="14" width="13.5703125" customWidth="1"/>
    <col min="15" max="15" width="16" customWidth="1"/>
  </cols>
  <sheetData>
    <row r="1" spans="1:16" ht="26.25" thickBot="1" x14ac:dyDescent="0.3">
      <c r="A1" s="20" t="s">
        <v>236</v>
      </c>
      <c r="B1" s="20" t="s">
        <v>367</v>
      </c>
      <c r="C1" s="20" t="s">
        <v>368</v>
      </c>
      <c r="D1" s="20" t="s">
        <v>369</v>
      </c>
      <c r="E1" s="20" t="s">
        <v>370</v>
      </c>
      <c r="F1" s="20" t="s">
        <v>371</v>
      </c>
      <c r="G1" s="20" t="s">
        <v>372</v>
      </c>
      <c r="H1" s="20" t="s">
        <v>373</v>
      </c>
      <c r="I1" s="20" t="s">
        <v>374</v>
      </c>
      <c r="J1" s="20" t="s">
        <v>375</v>
      </c>
      <c r="K1" s="20" t="s">
        <v>376</v>
      </c>
      <c r="L1" s="20" t="s">
        <v>377</v>
      </c>
      <c r="M1" s="20" t="s">
        <v>378</v>
      </c>
      <c r="N1" s="20" t="s">
        <v>379</v>
      </c>
      <c r="O1" s="20" t="s">
        <v>380</v>
      </c>
      <c r="P1" s="20" t="s">
        <v>381</v>
      </c>
    </row>
    <row r="2" spans="1:16" ht="26.25" thickBot="1" x14ac:dyDescent="0.3">
      <c r="A2" s="32" t="s">
        <v>382</v>
      </c>
      <c r="B2" s="32" t="s">
        <v>383</v>
      </c>
      <c r="C2" s="32">
        <v>3</v>
      </c>
      <c r="D2" s="32" t="s">
        <v>384</v>
      </c>
      <c r="E2" s="32">
        <v>0</v>
      </c>
      <c r="F2" s="32">
        <v>0</v>
      </c>
      <c r="G2" s="49">
        <v>0</v>
      </c>
      <c r="H2" s="49" t="s">
        <v>407</v>
      </c>
      <c r="I2" s="49" t="s">
        <v>407</v>
      </c>
      <c r="J2" s="49" t="s">
        <v>407</v>
      </c>
      <c r="K2" s="49">
        <v>0</v>
      </c>
      <c r="L2" s="49">
        <v>0</v>
      </c>
      <c r="M2" s="32" t="s">
        <v>385</v>
      </c>
      <c r="N2" s="32" t="s">
        <v>386</v>
      </c>
      <c r="O2" s="32">
        <v>300</v>
      </c>
      <c r="P2" s="32" t="s">
        <v>387</v>
      </c>
    </row>
    <row r="3" spans="1:16" ht="26.25" thickBot="1" x14ac:dyDescent="0.3">
      <c r="A3" s="26" t="s">
        <v>388</v>
      </c>
      <c r="B3" s="39"/>
      <c r="C3" s="26">
        <v>12</v>
      </c>
      <c r="D3" s="26" t="s">
        <v>384</v>
      </c>
      <c r="E3" s="26">
        <v>0</v>
      </c>
      <c r="F3" s="26">
        <v>0</v>
      </c>
      <c r="G3" s="50">
        <v>0</v>
      </c>
      <c r="H3" s="50" t="s">
        <v>407</v>
      </c>
      <c r="I3" s="50" t="s">
        <v>407</v>
      </c>
      <c r="J3" s="50" t="s">
        <v>407</v>
      </c>
      <c r="K3" s="50">
        <v>0</v>
      </c>
      <c r="L3" s="50">
        <v>0</v>
      </c>
      <c r="M3" s="26" t="s">
        <v>389</v>
      </c>
      <c r="N3" s="26" t="s">
        <v>386</v>
      </c>
      <c r="O3" s="26">
        <v>400</v>
      </c>
      <c r="P3" s="26" t="s">
        <v>387</v>
      </c>
    </row>
    <row r="4" spans="1:16" ht="26.25" thickBot="1" x14ac:dyDescent="0.3">
      <c r="A4" s="32" t="s">
        <v>390</v>
      </c>
      <c r="B4" s="32" t="s">
        <v>383</v>
      </c>
      <c r="C4" s="32">
        <v>0</v>
      </c>
      <c r="D4" s="32" t="s">
        <v>384</v>
      </c>
      <c r="E4" s="32">
        <v>0</v>
      </c>
      <c r="F4" s="32">
        <v>1</v>
      </c>
      <c r="G4" s="49">
        <v>1</v>
      </c>
      <c r="H4" s="49" t="s">
        <v>408</v>
      </c>
      <c r="I4" s="49" t="s">
        <v>408</v>
      </c>
      <c r="J4" s="49" t="s">
        <v>416</v>
      </c>
      <c r="K4" s="49">
        <v>0</v>
      </c>
      <c r="L4" s="49">
        <v>0</v>
      </c>
      <c r="M4" s="32" t="s">
        <v>389</v>
      </c>
      <c r="N4" s="32" t="s">
        <v>391</v>
      </c>
      <c r="O4" s="32" t="s">
        <v>392</v>
      </c>
      <c r="P4" s="32" t="s">
        <v>387</v>
      </c>
    </row>
    <row r="5" spans="1:16" ht="26.25" thickBot="1" x14ac:dyDescent="0.3">
      <c r="A5" s="26" t="s">
        <v>393</v>
      </c>
      <c r="B5" s="26" t="s">
        <v>394</v>
      </c>
      <c r="C5" s="26">
        <v>20</v>
      </c>
      <c r="D5" s="26" t="s">
        <v>384</v>
      </c>
      <c r="E5" s="26">
        <v>0</v>
      </c>
      <c r="F5" s="26">
        <v>1</v>
      </c>
      <c r="G5" s="50" t="s">
        <v>412</v>
      </c>
      <c r="H5" s="50" t="s">
        <v>409</v>
      </c>
      <c r="I5" s="50" t="s">
        <v>409</v>
      </c>
      <c r="J5" s="50" t="s">
        <v>417</v>
      </c>
      <c r="K5" s="50" t="s">
        <v>420</v>
      </c>
      <c r="L5" s="50" t="s">
        <v>421</v>
      </c>
      <c r="M5" s="26" t="s">
        <v>395</v>
      </c>
      <c r="N5" s="26" t="s">
        <v>386</v>
      </c>
      <c r="O5" s="26" t="s">
        <v>396</v>
      </c>
      <c r="P5" s="26" t="s">
        <v>387</v>
      </c>
    </row>
    <row r="6" spans="1:16" ht="26.25" thickBot="1" x14ac:dyDescent="0.3">
      <c r="A6" s="32" t="s">
        <v>397</v>
      </c>
      <c r="B6" s="32" t="s">
        <v>383</v>
      </c>
      <c r="C6" s="32">
        <v>10</v>
      </c>
      <c r="D6" s="32" t="s">
        <v>384</v>
      </c>
      <c r="E6" s="32">
        <v>0</v>
      </c>
      <c r="F6" s="32">
        <v>0</v>
      </c>
      <c r="G6" s="49">
        <v>0</v>
      </c>
      <c r="H6" s="49" t="s">
        <v>408</v>
      </c>
      <c r="I6" s="49" t="s">
        <v>414</v>
      </c>
      <c r="J6" s="49" t="s">
        <v>408</v>
      </c>
      <c r="K6" s="49">
        <v>0</v>
      </c>
      <c r="L6" s="49">
        <v>0</v>
      </c>
      <c r="M6" s="32" t="s">
        <v>389</v>
      </c>
      <c r="N6" s="32" t="s">
        <v>386</v>
      </c>
      <c r="O6" s="32">
        <v>500</v>
      </c>
      <c r="P6" s="32" t="s">
        <v>387</v>
      </c>
    </row>
    <row r="7" spans="1:16" ht="31.5" customHeight="1" thickBot="1" x14ac:dyDescent="0.3">
      <c r="A7" s="26" t="s">
        <v>398</v>
      </c>
      <c r="B7" s="26" t="s">
        <v>399</v>
      </c>
      <c r="C7" s="26">
        <v>0</v>
      </c>
      <c r="D7" s="26" t="s">
        <v>384</v>
      </c>
      <c r="E7" s="26">
        <v>1</v>
      </c>
      <c r="F7" s="26">
        <v>2</v>
      </c>
      <c r="G7" s="50" t="s">
        <v>413</v>
      </c>
      <c r="H7" s="50" t="s">
        <v>410</v>
      </c>
      <c r="I7" s="50" t="s">
        <v>415</v>
      </c>
      <c r="J7" s="50" t="s">
        <v>418</v>
      </c>
      <c r="K7" s="50" t="s">
        <v>420</v>
      </c>
      <c r="L7" s="50" t="s">
        <v>413</v>
      </c>
      <c r="M7" s="26" t="s">
        <v>395</v>
      </c>
      <c r="N7" s="26" t="s">
        <v>403</v>
      </c>
      <c r="O7" s="26" t="s">
        <v>400</v>
      </c>
      <c r="P7" s="26" t="s">
        <v>387</v>
      </c>
    </row>
    <row r="8" spans="1:16" ht="26.25" thickBot="1" x14ac:dyDescent="0.3">
      <c r="A8" s="32" t="s">
        <v>401</v>
      </c>
      <c r="B8" s="32" t="s">
        <v>383</v>
      </c>
      <c r="C8" s="32">
        <v>4</v>
      </c>
      <c r="D8" s="32" t="s">
        <v>402</v>
      </c>
      <c r="E8" s="32">
        <v>0</v>
      </c>
      <c r="F8" s="32">
        <v>1</v>
      </c>
      <c r="G8" s="49">
        <v>0</v>
      </c>
      <c r="H8" s="49" t="s">
        <v>408</v>
      </c>
      <c r="I8" s="49" t="s">
        <v>414</v>
      </c>
      <c r="J8" s="49" t="s">
        <v>409</v>
      </c>
      <c r="K8" s="49">
        <v>0</v>
      </c>
      <c r="L8" s="49">
        <v>0</v>
      </c>
      <c r="M8" s="32" t="s">
        <v>389</v>
      </c>
      <c r="N8" s="32" t="s">
        <v>403</v>
      </c>
      <c r="O8" s="32" t="s">
        <v>400</v>
      </c>
      <c r="P8" s="32" t="s">
        <v>387</v>
      </c>
    </row>
    <row r="9" spans="1:16" ht="26.25" thickBot="1" x14ac:dyDescent="0.3">
      <c r="A9" s="26" t="s">
        <v>404</v>
      </c>
      <c r="B9" s="39"/>
      <c r="C9" s="26">
        <v>24</v>
      </c>
      <c r="D9" s="26" t="s">
        <v>402</v>
      </c>
      <c r="E9" s="26">
        <v>0</v>
      </c>
      <c r="F9" s="50" t="s">
        <v>407</v>
      </c>
      <c r="G9" s="50" t="s">
        <v>408</v>
      </c>
      <c r="H9" s="50" t="s">
        <v>411</v>
      </c>
      <c r="I9" s="50" t="s">
        <v>416</v>
      </c>
      <c r="J9" s="50" t="s">
        <v>419</v>
      </c>
      <c r="K9" s="50" t="s">
        <v>412</v>
      </c>
      <c r="L9" s="50" t="s">
        <v>421</v>
      </c>
      <c r="M9" s="26" t="s">
        <v>405</v>
      </c>
      <c r="N9" s="26">
        <v>999</v>
      </c>
      <c r="O9" s="26" t="s">
        <v>406</v>
      </c>
      <c r="P9" s="26" t="s">
        <v>387</v>
      </c>
    </row>
  </sheetData>
  <pageMargins left="0.7" right="0.7" top="0.75" bottom="0.75" header="0.3" footer="0.3"/>
  <ignoredErrors>
    <ignoredError sqref="J7" twoDigitTextYear="1"/>
  </ignoredErrors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EC12-ED84-4F38-9B1C-DC3BDC099D3A}">
  <dimension ref="A1:E35"/>
  <sheetViews>
    <sheetView tabSelected="1" workbookViewId="0">
      <selection activeCell="A25" sqref="A25"/>
    </sheetView>
  </sheetViews>
  <sheetFormatPr defaultRowHeight="15" x14ac:dyDescent="0.25"/>
  <cols>
    <col min="1" max="1" width="40.85546875" customWidth="1"/>
    <col min="2" max="2" width="12.28515625" customWidth="1"/>
  </cols>
  <sheetData>
    <row r="1" spans="1:5" ht="15" customHeight="1" x14ac:dyDescent="0.25">
      <c r="A1" s="112" t="s">
        <v>436</v>
      </c>
      <c r="B1" s="112"/>
      <c r="C1" s="51"/>
      <c r="D1" s="51"/>
      <c r="E1" s="51"/>
    </row>
    <row r="2" spans="1:5" x14ac:dyDescent="0.25">
      <c r="A2" s="112"/>
      <c r="B2" s="112"/>
      <c r="C2" s="51"/>
      <c r="D2" s="51"/>
      <c r="E2" s="51"/>
    </row>
    <row r="3" spans="1:5" x14ac:dyDescent="0.25">
      <c r="A3" s="112"/>
      <c r="B3" s="112"/>
      <c r="C3" s="51"/>
      <c r="D3" s="51"/>
      <c r="E3" s="51"/>
    </row>
    <row r="4" spans="1:5" x14ac:dyDescent="0.25">
      <c r="A4" s="1"/>
      <c r="B4" s="52"/>
    </row>
    <row r="5" spans="1:5" x14ac:dyDescent="0.25">
      <c r="B5" s="14"/>
    </row>
    <row r="6" spans="1:5" x14ac:dyDescent="0.25">
      <c r="B6" s="14"/>
    </row>
    <row r="7" spans="1:5" x14ac:dyDescent="0.25">
      <c r="B7" s="14"/>
    </row>
    <row r="8" spans="1:5" x14ac:dyDescent="0.25">
      <c r="A8" t="s">
        <v>453</v>
      </c>
      <c r="B8" s="14"/>
    </row>
    <row r="9" spans="1:5" x14ac:dyDescent="0.25">
      <c r="B9" s="14"/>
    </row>
    <row r="10" spans="1:5" x14ac:dyDescent="0.25">
      <c r="B10" s="14"/>
    </row>
    <row r="11" spans="1:5" x14ac:dyDescent="0.25">
      <c r="B11" s="14"/>
    </row>
    <row r="12" spans="1:5" x14ac:dyDescent="0.25">
      <c r="B12" s="14"/>
    </row>
    <row r="13" spans="1:5" x14ac:dyDescent="0.25">
      <c r="B13" s="14"/>
    </row>
    <row r="14" spans="1:5" x14ac:dyDescent="0.25">
      <c r="A14" t="s">
        <v>520</v>
      </c>
      <c r="B14" s="14"/>
    </row>
    <row r="15" spans="1:5" x14ac:dyDescent="0.25">
      <c r="A15" t="s">
        <v>555</v>
      </c>
      <c r="B15" s="14"/>
    </row>
    <row r="16" spans="1:5" x14ac:dyDescent="0.25">
      <c r="A16" t="s">
        <v>522</v>
      </c>
      <c r="B16" s="14"/>
    </row>
    <row r="17" spans="1:2" x14ac:dyDescent="0.25">
      <c r="A17" t="s">
        <v>590</v>
      </c>
      <c r="B17" s="14"/>
    </row>
    <row r="18" spans="1:2" x14ac:dyDescent="0.25">
      <c r="A18" t="s">
        <v>523</v>
      </c>
      <c r="B18" s="14"/>
    </row>
    <row r="19" spans="1:2" x14ac:dyDescent="0.25">
      <c r="A19" t="s">
        <v>524</v>
      </c>
      <c r="B19" s="14"/>
    </row>
    <row r="20" spans="1:2" x14ac:dyDescent="0.25">
      <c r="A20" t="s">
        <v>538</v>
      </c>
      <c r="B20" s="14"/>
    </row>
    <row r="21" spans="1:2" x14ac:dyDescent="0.25">
      <c r="A21" t="s">
        <v>588</v>
      </c>
      <c r="B21" s="14"/>
    </row>
    <row r="22" spans="1:2" x14ac:dyDescent="0.25">
      <c r="A22" t="s">
        <v>589</v>
      </c>
      <c r="B22" s="14"/>
    </row>
    <row r="23" spans="1:2" x14ac:dyDescent="0.25">
      <c r="A23" t="s">
        <v>591</v>
      </c>
      <c r="B23" s="14"/>
    </row>
    <row r="24" spans="1:2" x14ac:dyDescent="0.25">
      <c r="B24" s="14"/>
    </row>
    <row r="25" spans="1:2" x14ac:dyDescent="0.25">
      <c r="A25" t="s">
        <v>592</v>
      </c>
      <c r="B25" s="14"/>
    </row>
    <row r="26" spans="1:2" x14ac:dyDescent="0.25">
      <c r="A26" t="s">
        <v>598</v>
      </c>
      <c r="B26" s="14"/>
    </row>
    <row r="27" spans="1:2" x14ac:dyDescent="0.25">
      <c r="B27" s="14"/>
    </row>
    <row r="28" spans="1:2" x14ac:dyDescent="0.25">
      <c r="B28" s="14"/>
    </row>
    <row r="29" spans="1:2" x14ac:dyDescent="0.25">
      <c r="B29" s="14"/>
    </row>
    <row r="30" spans="1:2" x14ac:dyDescent="0.25">
      <c r="B30" s="14"/>
    </row>
    <row r="31" spans="1:2" x14ac:dyDescent="0.25">
      <c r="B31" s="14"/>
    </row>
    <row r="32" spans="1:2" x14ac:dyDescent="0.25">
      <c r="B32" s="14"/>
    </row>
    <row r="33" spans="2:2" x14ac:dyDescent="0.25">
      <c r="B33" s="14"/>
    </row>
    <row r="34" spans="2:2" x14ac:dyDescent="0.25">
      <c r="B34" s="14"/>
    </row>
    <row r="35" spans="2:2" x14ac:dyDescent="0.25">
      <c r="B35" s="14"/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Caliber</vt:lpstr>
      <vt:lpstr>Pistols</vt:lpstr>
      <vt:lpstr>SMGs</vt:lpstr>
      <vt:lpstr>Rifles</vt:lpstr>
      <vt:lpstr>Snipers</vt:lpstr>
      <vt:lpstr>Shotguns</vt:lpstr>
      <vt:lpstr>LMGs</vt:lpstr>
      <vt:lpstr>Explosives</vt:lpstr>
      <vt:lpstr>Other info</vt:lpstr>
      <vt:lpstr>Armor</vt:lpstr>
      <vt:lpstr>Units</vt:lpstr>
      <vt:lpstr>Enemy Weapons</vt:lpstr>
      <vt:lpstr>Missions</vt:lpstr>
      <vt:lpstr>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McLaughlin</dc:creator>
  <cp:lastModifiedBy>Ethan McLaughlin</cp:lastModifiedBy>
  <dcterms:created xsi:type="dcterms:W3CDTF">2024-01-28T00:13:39Z</dcterms:created>
  <dcterms:modified xsi:type="dcterms:W3CDTF">2025-05-28T01:06:46Z</dcterms:modified>
</cp:coreProperties>
</file>